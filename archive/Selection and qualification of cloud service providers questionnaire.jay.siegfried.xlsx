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8"/>
  <workbookPr/>
  <mc:AlternateContent xmlns:mc="http://schemas.openxmlformats.org/markup-compatibility/2006">
    <mc:Choice Requires="x15">
      <x15ac:absPath xmlns:x15ac="http://schemas.microsoft.com/office/spreadsheetml/2010/11/ac" url="/Users/jingjinghuang/Documents/Work/info_security_qna/siegfried/"/>
    </mc:Choice>
  </mc:AlternateContent>
  <xr:revisionPtr revIDLastSave="0" documentId="13_ncr:1_{FA9BEB89-7040-E341-B5BE-B803656A7A54}" xr6:coauthVersionLast="47" xr6:coauthVersionMax="47" xr10:uidLastSave="{00000000-0000-0000-0000-000000000000}"/>
  <bookViews>
    <workbookView xWindow="5800" yWindow="660" windowWidth="23720" windowHeight="17320" activeTab="1" xr2:uid="{00000000-000D-0000-FFFF-FFFF00000000}"/>
  </bookViews>
  <sheets>
    <sheet name="CoverSheet" sheetId="2" r:id="rId1"/>
    <sheet name="Questions" sheetId="1" r:id="rId2"/>
    <sheet name="Glossary" sheetId="5" r:id="rId3"/>
    <sheet name="Standards" sheetId="6" r:id="rId4"/>
    <sheet name="Assessment" sheetId="4" state="hidden" r:id="rId5"/>
  </sheets>
  <definedNames>
    <definedName name="_xlnm._FilterDatabase" localSheetId="1" hidden="1">Questions!$B$3:$M$3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5" i="1" l="1"/>
  <c r="G63" i="1"/>
  <c r="H63" i="1"/>
  <c r="I63" i="1"/>
  <c r="I56" i="1"/>
  <c r="K69" i="1"/>
  <c r="K6" i="1"/>
  <c r="K7" i="1"/>
  <c r="K35" i="1" l="1"/>
  <c r="K36" i="1"/>
  <c r="K37" i="1"/>
  <c r="K38" i="1"/>
  <c r="K39" i="1"/>
  <c r="K40" i="1"/>
  <c r="K41" i="1"/>
  <c r="K42" i="1"/>
  <c r="K43" i="1"/>
  <c r="K45" i="1"/>
  <c r="K46" i="1"/>
  <c r="K47" i="1"/>
  <c r="K48" i="1"/>
  <c r="K49" i="1"/>
  <c r="K51" i="1"/>
  <c r="K52" i="1"/>
  <c r="K53" i="1"/>
  <c r="K54" i="1"/>
  <c r="K55" i="1"/>
  <c r="K57" i="1"/>
  <c r="K58" i="1"/>
  <c r="K59" i="1"/>
  <c r="K61" i="1"/>
  <c r="K62" i="1"/>
  <c r="K64" i="1"/>
  <c r="K65" i="1"/>
  <c r="K66" i="1"/>
  <c r="K67" i="1"/>
  <c r="K68" i="1"/>
  <c r="K33" i="1"/>
  <c r="K34" i="1"/>
  <c r="K9" i="1"/>
  <c r="K8" i="1"/>
  <c r="K10" i="1"/>
  <c r="K11" i="1"/>
  <c r="K12" i="1"/>
  <c r="K13" i="1"/>
  <c r="K14" i="1"/>
  <c r="K15" i="1"/>
  <c r="K16" i="1"/>
  <c r="K17" i="1"/>
  <c r="K18" i="1"/>
  <c r="B4" i="4" l="1"/>
  <c r="B9" i="4"/>
  <c r="B8" i="4"/>
  <c r="B7" i="4"/>
  <c r="B6" i="4"/>
  <c r="B5" i="4"/>
  <c r="B3" i="4"/>
  <c r="B2" i="4"/>
  <c r="E9" i="4" l="1"/>
  <c r="F9" i="4"/>
  <c r="C9" i="4"/>
  <c r="H60" i="1"/>
  <c r="E8" i="4" s="1"/>
  <c r="I60" i="1"/>
  <c r="F8" i="4" s="1"/>
  <c r="G60" i="1"/>
  <c r="C8" i="4" s="1"/>
  <c r="H56" i="1"/>
  <c r="E7" i="4" s="1"/>
  <c r="F7" i="4"/>
  <c r="G56" i="1"/>
  <c r="C7" i="4" s="1"/>
  <c r="I50" i="1"/>
  <c r="F6" i="4" s="1"/>
  <c r="H50" i="1"/>
  <c r="E6" i="4" s="1"/>
  <c r="G50" i="1"/>
  <c r="C6" i="4" s="1"/>
  <c r="H44" i="1"/>
  <c r="E5" i="4" s="1"/>
  <c r="I44" i="1"/>
  <c r="F5" i="4" s="1"/>
  <c r="G44" i="1"/>
  <c r="C5" i="4" s="1"/>
  <c r="H19" i="1"/>
  <c r="E3" i="4" s="1"/>
  <c r="I19" i="1"/>
  <c r="F3" i="4" s="1"/>
  <c r="G19" i="1"/>
  <c r="C3" i="4" s="1"/>
  <c r="H32" i="1"/>
  <c r="E4" i="4" s="1"/>
  <c r="I32" i="1"/>
  <c r="F4" i="4" s="1"/>
  <c r="G32" i="1"/>
  <c r="C4" i="4" s="1"/>
  <c r="H4" i="1"/>
  <c r="E2" i="4" s="1"/>
  <c r="I4" i="1"/>
  <c r="F2" i="4" s="1"/>
  <c r="G4" i="1"/>
  <c r="C2" i="4" s="1"/>
  <c r="K20" i="1" l="1"/>
  <c r="K21" i="1"/>
  <c r="K22" i="1"/>
  <c r="K23" i="1"/>
  <c r="K24" i="1"/>
  <c r="K25" i="1"/>
  <c r="K26" i="1"/>
  <c r="K27" i="1"/>
  <c r="K28" i="1"/>
  <c r="K29" i="1"/>
  <c r="K30" i="1"/>
  <c r="K31" i="1"/>
</calcChain>
</file>

<file path=xl/sharedStrings.xml><?xml version="1.0" encoding="utf-8"?>
<sst xmlns="http://schemas.openxmlformats.org/spreadsheetml/2006/main" count="423" uniqueCount="281">
  <si>
    <t xml:space="preserve">Approval of cloud applications
Approval Date: 13.05.2023
Doc. Ref.: D PO 00-0068  </t>
  </si>
  <si>
    <t xml:space="preserve">Selection and qualification of cloud service providers
</t>
  </si>
  <si>
    <t>Guidance for completing this Questionnaire</t>
  </si>
  <si>
    <t>Please complete the “Cloud Service Provider Information” section on this page.</t>
  </si>
  <si>
    <t>Please answer only required questions based on Cloud type (IaaS, PaaS or SaaS) defined in columns "C" and "D"</t>
  </si>
  <si>
    <t>Please answer every question on"Questions" Tab with Yes, No, or N/A.</t>
  </si>
  <si>
    <t>When you answer with N/A, please add a commentary why this question does not apply in "CSP comment"</t>
  </si>
  <si>
    <t>When you cannot provide a response, please add a commentary with a short explanation.</t>
  </si>
  <si>
    <t xml:space="preserve">The regulated company is accountable for the regulated data, regardless of the service model (IaaS, PaaS, SaaS) or type of cloud </t>
  </si>
  <si>
    <t xml:space="preserve">de-ployment (public, hybrid, private). </t>
  </si>
  <si>
    <t xml:space="preserve">The responsibilities for data / endpoints / account / access management remain with the regulated company. </t>
  </si>
  <si>
    <t>This is the core of the enclosed cloud service provider questionnaire, which can be used based on service model.</t>
  </si>
  <si>
    <t>We are happy to arrange for a meeting to discuss questions and give you the opportunity to provide further details on your cloud offering and the controls you have in place.</t>
  </si>
  <si>
    <t>Cloud Service Provider Information</t>
  </si>
  <si>
    <t>General Information on the Cloud Service:</t>
  </si>
  <si>
    <t>Name of the Cloud Service Provider (CSP) / Application:</t>
  </si>
  <si>
    <t>In what region/country is the application hosted:</t>
  </si>
  <si>
    <t>Is the Cloud Service Provider (CPS) subject to US laws:</t>
  </si>
  <si>
    <r>
      <t xml:space="preserve">Data Classification </t>
    </r>
    <r>
      <rPr>
        <sz val="11"/>
        <color rgb="FF000000"/>
        <rFont val="Frutiger LT 45 Light"/>
        <family val="2"/>
      </rPr>
      <t>*To be completed by Siegfried Owner</t>
    </r>
  </si>
  <si>
    <t>Data Classification:</t>
  </si>
  <si>
    <t>Service Model:</t>
  </si>
  <si>
    <t>Cloud Type:</t>
  </si>
  <si>
    <t>Cloud Service Provider Approval</t>
  </si>
  <si>
    <t>CISO Assessment:</t>
  </si>
  <si>
    <t>Decision CISO: ☐ Approved / ☐ Approved with obligation / ☐ Clarification required / ☐ Rejected</t>
  </si>
  <si>
    <t>Date:</t>
  </si>
  <si>
    <t>Comment CISO:</t>
  </si>
  <si>
    <t>CISO approval:</t>
  </si>
  <si>
    <t>This questionnaire was last updated in May 2023.</t>
  </si>
  <si>
    <t>Questionaire</t>
  </si>
  <si>
    <t>Cloud Service Provider</t>
  </si>
  <si>
    <t>CISO</t>
  </si>
  <si>
    <t>Requirement</t>
  </si>
  <si>
    <t>IaaS / PaaS</t>
  </si>
  <si>
    <t>SaaS</t>
  </si>
  <si>
    <t>Description</t>
  </si>
  <si>
    <t>Questions</t>
  </si>
  <si>
    <t>Yes</t>
  </si>
  <si>
    <t>No</t>
  </si>
  <si>
    <t>N/A</t>
  </si>
  <si>
    <t>CSP comment</t>
  </si>
  <si>
    <t>Risk detected</t>
  </si>
  <si>
    <t>CISO Acceptance</t>
  </si>
  <si>
    <t>CISO Comment</t>
  </si>
  <si>
    <t>1.     Compliance</t>
  </si>
  <si>
    <t>Quality agreement</t>
  </si>
  <si>
    <t>Y (private cloud)
N (public / hybrid)</t>
  </si>
  <si>
    <t>The respective responsibilities of the regulated company and the CSP are described in a quality agreement</t>
  </si>
  <si>
    <t>Have all relevant activities and responsibilities been covered in a quality agreement?</t>
  </si>
  <si>
    <t>Service Level agreement</t>
  </si>
  <si>
    <t>Y</t>
  </si>
  <si>
    <t xml:space="preserve">Y </t>
  </si>
  <si>
    <t xml:space="preserve">Service Level Agreements between the regulated company and the CSP specify the service level objectives, metrics, and targets that will be used to measure the performance of the service provider. </t>
  </si>
  <si>
    <t>Have all relevant activities and responsibilities been covered in a service level agreement?</t>
  </si>
  <si>
    <t>Confirmation of compliance</t>
  </si>
  <si>
    <t>N</t>
  </si>
  <si>
    <t>The CSP must confirm in writing how the relevant data protection regulatory and legal requirements (e.g. DSG [Data Privacy Act] in Switzerland, GDPR in Europe), both at an organizational and technical level will be met. CSP shall put in place a mechanism whereby the Customer shall be notified of any changes</t>
  </si>
  <si>
    <t xml:space="preserve">Have all relevant regulato-ry and legal requirements, in particular with regard to data protection (e.g. DSG in Switzerland, GDPR in Europe), been implement-ed both at an organiza-tional and technical level?
e.g. EU Cloud code of Conduct
</t>
  </si>
  <si>
    <t>Independent audits</t>
  </si>
  <si>
    <t xml:space="preserve">CSP shall provide the Customer, if available, an executive summary of independent third party audits and the certification of the CSP’s compliance with its obligations.
CSP shall put in place a mechanism whereby the Customer shall be notified of negative findings
</t>
  </si>
  <si>
    <t>Are independent audits performed on a regular basis to demonstrate that the cloud environment meets state-of-the-art/industry-best-practice requirements?</t>
  </si>
  <si>
    <t>Were any deficiencies discovered during the last audit? Please provide evidence of the action plan to address these deficiencies.</t>
  </si>
  <si>
    <t>Certifications</t>
  </si>
  <si>
    <t>CSP shall provide the Customer with any certificates, attestations or reports resulting from independent accredited third party audits of the Cloud Services. The CSP shall cooperate in good faith, in particular to enable adequate and timely responses.</t>
  </si>
  <si>
    <t>Are certifications such as ISAE-3402, SOC Type, ISO-27001, ISO-27017 or ISO-27018 in place to demonstrate that recognized standards have been implemented both at an organizational and technical level?</t>
  </si>
  <si>
    <t>Continuous security review</t>
  </si>
  <si>
    <t>The CSP shall apply appropriate information security measures according to the sensitivity of the Customer (Personal) data contained within the cloud service. The CSP must prove that it continuously checks or has a third party check the cloud environment for vulnerabilities (e.g. internal audits, regular vulnerability scanning, penetration test, red teaming).
The CSP shall take all appropriate steps to ensure the information security is a central part of any new developments to the relevant cloud service offerings.</t>
  </si>
  <si>
    <t>Is the cloud environment continuously checked for vulnerabilities (e.g. internal audits, regular vulnerability scanning, penetration test, red teaming)? Please provide evidence of the last vulnerability check.</t>
  </si>
  <si>
    <t>Risk management</t>
  </si>
  <si>
    <t>The CSP shall establish, implement, maintain and continually improve an information security management system (ISMS), in accordance with the requirements of ISO 27001 or any equivalent International Standards The scope must include the organizational units, locations and procedures of the cloud provider for the provision of the cloud service.</t>
  </si>
  <si>
    <t>Is an information security management system (ISMS) operated according to a recognized standard (e.g. ISO/IEC 27001) and does the scope include the organizational units, locations and procedures for providing the cloud service?</t>
  </si>
  <si>
    <t>Right to audit</t>
  </si>
  <si>
    <t>If the Customer requests further information, only the Customer or its mandated auditor may conduct an onsite visit of the CSP facilities used to provide the Cloud Service, provided that the Customer and, where applicable, the mandated auditor have signed an appropriate confidentiality agreement.</t>
  </si>
  <si>
    <t>Can Siegfried AG or a recognized company/organization commissioned by Siegfried AG be granted the "right to audit"?</t>
  </si>
  <si>
    <t>Confidentiality requirements of the Cloud Strategy</t>
  </si>
  <si>
    <t>Y 
(private: C2 &amp; C3)
(public / hybrid: C0 &amp; C1)</t>
  </si>
  <si>
    <t xml:space="preserve">CSP shall have documented procedures to sufficiently communicate to the Customer the technical and organizational confidentiality measures implemented by the CSP prior to engaging in such data processing activi-ties. The confidentiality requirements are set out in the Cloud Strategy:
- C0 Public: Encrypted transport of data
- C1 Internal: Encrypted transport of data, secure and traceable deletion of data
- C2 Confidential: Encrypted transport and storage of data, secure and traceable deletion of data
- C3 Strictly confidential: In addition to C2, further security measures must be reviewed (e.g. location of the data center in Switzerland or the EU, secured data center connection).
</t>
  </si>
  <si>
    <t xml:space="preserve">Can the confidentiality requirements set out in the Cloud Strategy be implemented?
-       C1 Internal: Encrypted transport of data, secure and traceable deletion of data
-       C2 Confidential: Encrypted transport and storage of data, secure and traceable deletion of data
-       C3 Strictly confidential: In addition to C2, further security measures must be reviewed (e.g. location of the data center in Switzerland or the European Union, secured data center connection).
Note: C3 Strictly Confidential requires an exception approval.
</t>
  </si>
  <si>
    <t>Integrity requirements of the Cloud Strategy</t>
  </si>
  <si>
    <t xml:space="preserve">Y 
(private cloud: I1)
 (public / hybrid cloud: I0)
</t>
  </si>
  <si>
    <t xml:space="preserve">Y 
(pri-vate cloud: I1)
 (pub-lic / hybrid cloud: I0)
</t>
  </si>
  <si>
    <t xml:space="preserve">CSP shall have documented procedures to sufficiently communicate to the Customer the technical and organizational integrity measures implemented by the CSP prior to engaging in such data processing activities. The integrity requirements are set out in the Cloud Strategy :
-       I0 Basis: Detection of integrity violations using checksums, hash functions or certificates
-       I1 Extended: Encrypted transport and storage of data, logging of all data changes.
</t>
  </si>
  <si>
    <t xml:space="preserve">Can the integrity requirements set out in the Cloud Strategy be implemented?
-       I0 Basis: Detection of integrity violations using checksums, hash functions or certificates
-       I1 Extended: Encrypted transport and storage of data, logging of all data changes.
</t>
  </si>
  <si>
    <t>Availability requirements of the Cloud Strategy</t>
  </si>
  <si>
    <t>Y 
(private and 
 public / hybrid: V1 to V4)</t>
  </si>
  <si>
    <t>CSP shall have documented procedures to sufficiently communicate to the Customer the technical and organizational availability measures implemented by the CSP prior to engaging in such data processing activi-ties. The availability requirements are set out in the Cloud Strategy :
- V1 Low: Backup of data, applications and configurations
- V2 Medium: Guaranteed availability ac-cording to defined SLA
- V3 High: high availability (&gt;99%), guaranteed SLA in case of disaster, redundant Internet connec-tion, highly available internal network.
Note: for V4 Critical, two CSPs must be evaluated, both supporting C3 High.</t>
  </si>
  <si>
    <t xml:space="preserve">Can the availability requirements from the Cloud Strategy be implemented?
-       V1 Low: Backup of data, applications and configurations
-       V2 Medium: Guaranteed availability according to defined SLA
-       V3 High: high availability (&gt;99%), guaranteed SLA in case of disaster, redundant Internet connection, highly available internal network.
Note: for V4 Critical, two CSPs must be evaluated, both supporting V3 High.
</t>
  </si>
  <si>
    <t>Archiving requirements of the Cloud Strategy</t>
  </si>
  <si>
    <t xml:space="preserve">Y 
(private: A1)
(public / hybrid: A0)
</t>
  </si>
  <si>
    <t>CSP shall have documented procedures to sufficiently communicate to the Customer the technical and organizational archiving measures implemented by the CSP prior to engaging in such data processing activi-ties. The archiving requirements are set out in the Cloud Strategy:
- A0 No archiving: No measures
- A1 Archiving: Storage in suitable for-mat, traceability guaranteed in the event of changes, periodic checking of archived data</t>
  </si>
  <si>
    <t xml:space="preserve">Can the archiving requirements from the Cloud Strategy be implemented?
-       A0 No archiving: No measures
-       A1 Archiving: Storage in suitable format, traceability guaranteed in the event of changes, periodic checking of archived data
</t>
  </si>
  <si>
    <t>Data privacy requirements of the Cloud Strategy</t>
  </si>
  <si>
    <t>Y 
(private cloud: P1/P2)
 (public / hybrid cloud: P0)</t>
  </si>
  <si>
    <t>CSP shall have documented procedures to sufficiently communicate to the Customer the technical and or-ganizational data privacy measures implemented by the CSP prior to engaging in such data processing activi-ties. The data privacy requirements are set out in the Cloud Strategy P0 no per-sonal data: no additional measures
- P1 personal data: confidentiality requirements for C2
- P2 personal data requiring special pro-tection: confidentiality requirements for C3, further security measures must also be reviewed (e.g. lo-cation of the data center in Switzerland or the EU, secured data center connec-tion).</t>
  </si>
  <si>
    <t xml:space="preserve">Can the data privacy requirements from the Cloud Strategy be implemented?
-       P0 no personal data: no additional measures
-       P1 personal data: confidentiality requirements for C2
-       P2 personal data requiring special protection: confidentiality requirements for C3, further security measures must also be reviewed (e.g. location of the data center in Switzerland or the European Union, secured data center connection).
</t>
  </si>
  <si>
    <t>2.     Data security</t>
  </si>
  <si>
    <t>Identity management</t>
  </si>
  <si>
    <t>The CSP shall limit access to Customer (Personal) Data, both in the cloud and the facilities in which the Customer (Personal) Data is processed, including through logical access controls. The customer has to be able to autonomously manage the identities of users, and can delegate this to the CSP if no interfaces that support Identity Federation exists.</t>
  </si>
  <si>
    <t>Is it possible for Siegfried AG to autonomously manage the identities of users on behalf of the tenant?</t>
  </si>
  <si>
    <t>Can interfaces be provided that support Identity Federation?</t>
  </si>
  <si>
    <t>Permission management</t>
  </si>
  <si>
    <t xml:space="preserve">The CSP must have a policy that governs procedures for access and access permissions. The following items in particular must be covered:
-          Modification, suspension, and revocation of access and access permissions for internal and external employees
-          Support for role-based access (RBAC)
-          Regular checking of permissions
-          Handling of privileged personal and technical accounts
</t>
  </si>
  <si>
    <r>
      <t>Is there a policy that</t>
    </r>
    <r>
      <rPr>
        <sz val="11"/>
        <color theme="1"/>
        <rFont val="Frutiger LT 45 Light"/>
        <family val="2"/>
      </rPr>
      <t xml:space="preserve"> </t>
    </r>
    <r>
      <rPr>
        <sz val="10"/>
        <color theme="1"/>
        <rFont val="Frutiger LT 45 Light"/>
        <family val="2"/>
      </rPr>
      <t xml:space="preserve">specifies regulated procedures for access and access permissions, and are the following points covered in particular?
-          Modification, suspension, and revocation of access and access permissions for internal and external employees
-          Support for role-based access (RBAC)
-          Regular checking of permissions
-          Handling of privileged personal and technical accounts
</t>
    </r>
  </si>
  <si>
    <t>Authentication and access procedures</t>
  </si>
  <si>
    <t xml:space="preserve">The CSP must provide two-factor authentication (mobile TAN is to be avoided if possible) for the following cases as a minimum: 
-          Cloud services includes data/information classified as 'customer data', 'employee data', and all non-public 'business information'
-          For users with privileges and permissions (e.g. administrators)
-          For users with permissions of a changing nature (e.g. HelpDesk, Support)
If the cloud services are accessed from a secured company network via a VPN, for which two-factor authentication was already required, then in this case renewed two-factor authentication can be dispensed with.
To increase security, access to the services should be restricted, If possible, to specific IP addresses or domains
</t>
  </si>
  <si>
    <t xml:space="preserve">Is two-factor authentication (mobile TAN is to be avoided if possible) guaranteed in the following cases:
-          Cloud services includes data/information classified as 'customer data', 'employee data', and all non-public 'business information'.
-          For users with privileges and permissions (e.g. administrators)
-          For users with permissions of a changing nature (e.g. HelpDesk, Support)
If the cloud services are accessed from a secured company network via a VPN, for which two-factor authentication was already required, then in this case renewed two-factor authentication can be dispensed with.
</t>
  </si>
  <si>
    <t>Is it guaranteed that access to the services is restricted to specific IP addresses or domains?</t>
  </si>
  <si>
    <t>Cryptography / Encryption Key management</t>
  </si>
  <si>
    <t>Where technically feasible and operationally practicable, the CSP shall make available and/or implement encryption controls – at least for any transit of data – to protect the confidentiality of Customer (Personal) data in the cloud. The CSP must use state-of-the-art encryption methods, and use them on a risk-based basis. It must enable Siegfried AG to create and manage codes itself, and have defined requirements for the secure generation, storage, archiving, retrieval, distribution, revocation and deletion of codes. CSP shall put in place a mechanism whereby the Customer shall be notified of changes</t>
  </si>
  <si>
    <r>
      <t>Are encryption methods used</t>
    </r>
    <r>
      <rPr>
        <sz val="11"/>
        <color theme="1"/>
        <rFont val="Frutiger LT 45 Light"/>
        <family val="2"/>
      </rPr>
      <t xml:space="preserve"> </t>
    </r>
    <r>
      <rPr>
        <sz val="10"/>
        <color theme="1"/>
        <rFont val="Frutiger LT 45 Light"/>
        <family val="2"/>
      </rPr>
      <t>that reflect state-of-the-art technology and are these used on a risk-based basis?</t>
    </r>
  </si>
  <si>
    <t>Is it possible for Siegfried AG to create and manage the encryption keys itself and are the encryption principles of Siegfried AG adhered to?</t>
  </si>
  <si>
    <t>Are requirements defined for the secure generation, storage, archiving, retrieval, distribution, revocation, and deletion of encryption keys?</t>
  </si>
  <si>
    <t>Decommissioning</t>
  </si>
  <si>
    <t>The CSP must support the complete and irrevocable deletion of data or the proper destruction of hardware and data media (including backup media) (e.g., through "crypto-shredding").</t>
  </si>
  <si>
    <t>Is the complete and irrevocable deletion of data or the proper destruction of hardware and data media (including backup media) supported (e.g., through "crypto-shredding")?</t>
  </si>
  <si>
    <t>DLP/IRM (DRM)</t>
  </si>
  <si>
    <t>The CSP must offer a Data Loss Prevention (DLP) and Information Rights Management (IRM) solution integrated into its cloud platform, which Siegfried AG can configure according to its needs.Alternatively, the CSP must enable Siegfried AG to use third-party solutions for DLP and IRM. CSP shall put in place a mechanism whereby the Customer shall be notified of changes</t>
  </si>
  <si>
    <t>Is a Data Loss Prevention (DLP) and Information Rights Management (IRM) solution integrated in the cloud platform, and can it be configured by Siegfried AG according to its needs?</t>
  </si>
  <si>
    <t>Alternatively, can third-party solutions for DLP and IRM be integrated into the cloud platform?</t>
  </si>
  <si>
    <t>Data backup and recovery</t>
  </si>
  <si>
    <t>The CSP shall adopt physi-cal and logical measures, designed to prevent data loss and unauthorized ac-cess, alteration to or de-struction of the information processing facilities. The CSP must have a concept for regular data backup and data recovery that covers the following points in particular:
- adequate protection of backed up data 
- monitoring of data backup
- testing of recovery procedures
CSP shall put in place a mechanism whereby the Customer shall be notified of changes</t>
  </si>
  <si>
    <t xml:space="preserve">Does a concept for regular data backup and data recovery exist that covers the following points in particular:
-          adequate protection of backed up data 
-          monitoring of data backup
-          testing of recovery procedures
</t>
  </si>
  <si>
    <t>3.     IT regular operation</t>
  </si>
  <si>
    <t>Asset management</t>
  </si>
  <si>
    <t xml:space="preserve">Y (private cloud)
N (public cloud)
</t>
  </si>
  <si>
    <t>The CSP must provide Siegfried AG with an inventory of IT assets, showing the respective status of assets (active, inactive, planned, etc.). The CSP must have procedures for the orderly commissioning, decommissioning and management of IT assets.</t>
  </si>
  <si>
    <t>Does an asset inventory exist that shows the respective status of assets (active, inactive, planned, etc.)? Please provide evidence of the asset inventory.</t>
  </si>
  <si>
    <t>Are there procedures for the orderly commissioning, decommissioning and management of assets?</t>
  </si>
  <si>
    <t>Availability management</t>
  </si>
  <si>
    <t>The CSP must establish monitoring services and demonstrate the system availability provided by the CSP The CSP must have an established procedure for monitoring and controlling the availability of the sys-tems it provides.</t>
  </si>
  <si>
    <t>Is an established procedure used for monitoring and controlling the availability of the systems provided?</t>
  </si>
  <si>
    <t>Capacity management</t>
  </si>
  <si>
    <t>The CSP must have an established procedure for planning, monitoring and controlling capacities and resources (personnel and IT resources).</t>
  </si>
  <si>
    <t>Is an established procedure for planning, monitoring and controlling capacities and resources (personnel and IT resources) in place?</t>
  </si>
  <si>
    <t>Change management</t>
  </si>
  <si>
    <t>The CSP must have an established procedure for planning, risk assessment, testing, approval and implementation of changes (including major changes such as new releases). The CSP must incorporate the frozen zones and maintenance windows defined by Siegfried AG.
CSP shall put in place a mechanism whereby the Customer shall be notified of changes.</t>
  </si>
  <si>
    <t>Is an established process used for planning, risk assessment, testing, approval, and implementation of changes (including major changes such as new releases)?</t>
  </si>
  <si>
    <t>Can the frozen zones and maintenance windows defined by Siegfried AG be incorporated individually?</t>
  </si>
  <si>
    <t>Configuration management</t>
  </si>
  <si>
    <t>The CSP must have an established procedure for the definition, application and conformity control of standardized and secure configurations.</t>
  </si>
  <si>
    <r>
      <t>Is an established procedure</t>
    </r>
    <r>
      <rPr>
        <sz val="11"/>
        <color theme="1"/>
        <rFont val="Frutiger LT 45 Light"/>
        <family val="2"/>
      </rPr>
      <t xml:space="preserve"> </t>
    </r>
    <r>
      <rPr>
        <sz val="10"/>
        <color theme="1"/>
        <rFont val="Frutiger LT 45 Light"/>
        <family val="2"/>
      </rPr>
      <t>used for the definition, application and conformance control of standardized and secure configurations?</t>
    </r>
  </si>
  <si>
    <t>Vulnerability management</t>
  </si>
  <si>
    <t>The CSP must have a concept for dealing with vulnerabilities that describes both technical and organizational measures, in particular with regard to:
-          Regular identification of vulnerabilities
-          Documentation and assessment of vulnerabilities
-          Definition and implementation of prioritized measures to eliminate vulnerabilities
-          Reporting including trends 
Including an effective re-sponse to the Customer, about any (potential) vulner-abilities</t>
  </si>
  <si>
    <t xml:space="preserve">Does a concept exist for dealing with vulnerabilities that describes both the technical and organizational measures, particularly with regard to:
-          Regular identification of vulnerabilities
-          Documentation and assessment of vulnerabilities
-          Definition and implementation of prioritized measures to eliminate vulnerabilities
-          Reporting including trends 
</t>
  </si>
  <si>
    <t>Incident management</t>
  </si>
  <si>
    <t>The CSP shall develop, im-plement and manage poli-cies and procedures ena-bling an effective response to and (where legally re-quired) communication to the Customer, data subjects or competent authorities in relation to (personal) data breaches.. These must de-scribe technical as well as organizational measures, in particular regarding:
-          Criteria for classification, prioritization and escalation
-          Consideration of regulatory requirements
-          Involvement of Siegfried AG in the remediation process
-          Documentation and reporting
-          Securing evidence (for forensic analysis)</t>
  </si>
  <si>
    <t xml:space="preserve">Do guidelines and instructions exist to ensure a fast, effective and proper response to (security) incidents, describing technical as well as organizational measures, in particular regarding:
-          Criteria for classification, prioritization and escalation
-          Consideration of regulatory requirements
-          Involvement of Siegfried AG in the remediation process
-          Documentation and reporting
-          Securing evidence (for forensic analysis)
</t>
  </si>
  <si>
    <t>Business Continuity Management (BCM)</t>
  </si>
  <si>
    <t>The CSP shall adopt physi-cal and logical measures, designed to prevent service outages and unauthorized access, alteration to or destruction of the information processing facilities and the customer data stored therein. The CSP must have busi-ness continuity plans and contingency plans that spe-cifically address the following:
-          Recovery Time Objective (RTO) &amp; Recovery Point Objective (RPO).
-          Roles, responsibilities and communication channels
-          Recovery procedures and (manual) interim solutions
-          Regular review of the plans 
Including documentation and an effective response to the Customer, about the effec-tiveness of executed recovery tests</t>
  </si>
  <si>
    <t xml:space="preserve">Do business continuity plans and contingency plans exist that specifically address the following aspects:
-          Recovery Time Objective (RTO) &amp; Recovery Point Objective (RPO).
-          Roles, responsibilities and communication channels
-          Recovery procedures and (manual) interim solutions
-          Regular review of the plans </t>
  </si>
  <si>
    <t>Protection against malware</t>
  </si>
  <si>
    <t>The CSP must have policies and instructions with specifications for protection against malicious programs, which cover the following points in particular:
-          Use of system-specific protection mechanisms
-          Operation and updating of protection programs on components in its area of responsibility
-          Operation and updating of protection programs for end devices of its employees
Including an effective re-sponse to the Customer, about any (potential) mal-ware infections.</t>
  </si>
  <si>
    <t xml:space="preserve">Do policies and instructions exist with specifications for protection against malicious programs, which cover the following points in particular:
-          Use of system-specific protection mechanisms
-          Operation and updating of protection programs on components in its area of responsibility
-          Operation and updating of protection programs for end devices of its employees
</t>
  </si>
  <si>
    <t>4.     IT security monitoring</t>
  </si>
  <si>
    <t>Logging and monitoring</t>
  </si>
  <si>
    <t>The CSP must have an established procedure for logging and monitoring events on components in its area of responsibility. Including an effective response to the Customer, about any (potential) logging / monitoring findings</t>
  </si>
  <si>
    <t>Is there an established procedure for logging and monitoring events on components relevant to Siegfried AG?</t>
  </si>
  <si>
    <t>Detection of events</t>
  </si>
  <si>
    <t>The CSP must automatically evaluate logging data to detect events that may lead to the violation of protection goals. It must ensure 24/7 that events are analyzed and tracked in a timely manner. The CSP must provide interfaces to the Siegfried AG SOC for logging data. Including an effective response to the Customer, about any (potential) security events</t>
  </si>
  <si>
    <t>Is logging data automatically evaluated to detect events that may lead to the violation of protection goals?</t>
  </si>
  <si>
    <t>Does it ensure 24/7 that events are analyzed and tracked in a timely manner?</t>
  </si>
  <si>
    <t>Does the CSP provide interfaces to the Siegfried AG SOC for logging data?</t>
  </si>
  <si>
    <t>Audit trail</t>
  </si>
  <si>
    <t>The CSP must ensure that the logging data created allows unique identification of user accesses at tenant level to support (forensic) analysis in the event of a security incident.</t>
  </si>
  <si>
    <t>Does the CSP ensure that the logging data created allows unique identification of user accesses at tenant level to support (forensic) analysis in the event of a security incident?</t>
  </si>
  <si>
    <t>5.     Infrastructure security</t>
  </si>
  <si>
    <t>Hardware security</t>
  </si>
  <si>
    <t>The CSP shall adopt physical and logical security measures, to protect the information processing facilities and prevent unauthorized access, alteration to or destruction of the information processing facilities and the customer data stored therein. The CSP must ensure that components in its area of responsibility are hardened according to generally accepted industry standards. CSP shall put in place a mechanism whereby the Customer shall be notified of (potential) hardware related security events</t>
  </si>
  <si>
    <t>Is it ensured that components relevant for Siegfried AG are hardened?</t>
  </si>
  <si>
    <t>Network security</t>
  </si>
  <si>
    <t>The CSP shall adopt physical and logical security measures, designed to protect customer (personal) data in the CSP's networks and to ensure the secure transfer of such data in the CSPs networks and processing facilities in order to prevent unauthorized access, alteration to or destruction of the information processing facilities and the customer data stored therein. The CSP must use segmentation to ensure that Siegfried AG's data traffic is segregated from other customers. By means of transport encryption, the CSP must ensure that the data traffic cannot be viewed by third parties. The CSP must use appropriate measures to ensure that networkbased attacks (e.g., DDoS) based on anomalous inbound or outbound traffic patterns are detected and mitigated in a timely manner. Including an effective response to the Customer, about any (potential) networkbased attacks</t>
  </si>
  <si>
    <r>
      <t>Is it ensured by means of segmentation that</t>
    </r>
    <r>
      <rPr>
        <sz val="11"/>
        <color theme="1"/>
        <rFont val="Frutiger LT 45 Light"/>
        <family val="2"/>
      </rPr>
      <t xml:space="preserve"> </t>
    </r>
    <r>
      <rPr>
        <sz val="10"/>
        <color theme="1"/>
        <rFont val="Frutiger LT 45 Light"/>
        <family val="2"/>
      </rPr>
      <t>the data traffic of Siegfried AG is segregated from other customers?</t>
    </r>
  </si>
  <si>
    <t>Is transport encryption used to ensure that the data traffic cannot be viewed by third parties?</t>
  </si>
  <si>
    <t>Are appropriate measures taken to ensure that network-based attacks (e.g., DDoS) based on anomalous inbound or outbound traffic patterns are detected and mitigated in a timely manner?</t>
  </si>
  <si>
    <t>Physical security</t>
  </si>
  <si>
    <t>The CSP shall adopt physi-cal and environmental securi-ty measures, designed to prevent unauthorized access, alteration to or destruction of Customer (Personal) Data in the cloud and to the related information processing facili-ties and the customer data stored therein. The CSP must use established proce-dures to ensure that:
- only authorized per-sons are granted physical access to premises, buildings and systems
- operation is ensured in the event of a fail-ure in the supply of utilities 
Including an effective re-sponse to the Customer, about any (potential) physi-cal / logical security breaches</t>
  </si>
  <si>
    <t>Are established procedures used to ensure that
-          only authorized persons are granted physical access to premises, buildings and systems;
-          operation is ensured in the event of a failure in the supply of utilities?</t>
  </si>
  <si>
    <t>6.     Safety of personnel</t>
  </si>
  <si>
    <t>Safety training / Awareness training</t>
  </si>
  <si>
    <t>The CSP must operate a target group-oriented awareness and training program which all its internal and external employees undergo on a regular basis.</t>
  </si>
  <si>
    <t>Does the CSP operate a target group-oriented awareness and training program which all its internal and external employees undergo on a regular basis?</t>
  </si>
  <si>
    <t>Security review</t>
  </si>
  <si>
    <t xml:space="preserve">The CSP shall provide trans-parent information in ac-cordance with the Quality / service level agreement that demonstrates the level of security provided by the CSP. The CSP must conduct a regular security review of internal and external employees who perform sensitive roles. 
Including an effective re-sponse to the Customer, about any (potential) security outcome of the review
</t>
  </si>
  <si>
    <t>Are regular security reviews of internal and external employees who perform sensitive roles conducted?</t>
  </si>
  <si>
    <t>Verification of qualification</t>
  </si>
  <si>
    <t>The CSP must verify the qualification and trustworthiness of all internal and external employees.</t>
  </si>
  <si>
    <t>Is the qualification and trustworthiness of all internal and external employees verified?</t>
  </si>
  <si>
    <t>7.     Application security</t>
  </si>
  <si>
    <t>Secure development</t>
  </si>
  <si>
    <t>The CSP must have policies and instructions with technical and organizational measures for the secure development of the cloud service, especially regarding security in software development (requirements, design, implementation, testing and reviews). CSP shall put in place a mechanism whereby the Customer shall be notified of development changes</t>
  </si>
  <si>
    <t>Does the CSP have policies and instructions with technical and organizational measures for the secure development of the cloud service, especially regarding security in software development (requirements, design, implementation, testing and reviews)?</t>
  </si>
  <si>
    <t>Consideration of standards</t>
  </si>
  <si>
    <t>The CSP must incorporate established standards and frameworks (such as OWASP) into its software development?</t>
  </si>
  <si>
    <t>Are established standards and frameworks (such as OWASP) incorporated into software development?</t>
  </si>
  <si>
    <t>8.     Contractual and commercial aspects</t>
  </si>
  <si>
    <t>Information on jurisdiction and location</t>
  </si>
  <si>
    <t>In the system description and the contractual agreements, the CSP must provide comprehensible and transparent information on its jurisdiction and the locations where data are processed or stored. CSP shall put in place a mechanism whereby the Customer shall be notified of contractual changes</t>
  </si>
  <si>
    <r>
      <t>In the</t>
    </r>
    <r>
      <rPr>
        <sz val="11"/>
        <color theme="1"/>
        <rFont val="Frutiger LT 45 Light"/>
        <family val="2"/>
      </rPr>
      <t xml:space="preserve"> </t>
    </r>
    <r>
      <rPr>
        <sz val="10"/>
        <color theme="1"/>
        <rFont val="Frutiger LT 45 Light"/>
        <family val="2"/>
      </rPr>
      <t>system description and the contractual agreements, does the CSP provide comprehensible and transparent information on its jurisdiction and the locations where data are processed or stored?</t>
    </r>
  </si>
  <si>
    <t>Information on the handling of investigation requests by government agencies</t>
  </si>
  <si>
    <t>The CSP must provide comprehensible and transparent information on how it handles investigation requests from government agencies regarding access to or disclosure of Siegfried AG data. CSP shall put in place a mechanism whereby the Customer shall be notified of changes</t>
  </si>
  <si>
    <t>Will the CSP provide comprehensible and transparent information on how it handles investigation requests from government agencies regarding access to or disclosure of Siegfried AG data?</t>
  </si>
  <si>
    <t>Exit strategy</t>
  </si>
  <si>
    <t>The CSP must enable Siegfried AG to export data and containers or transfer them to another provider in the event of termination of the contractual relationship. CSP shall put in place a mechanism whereby the Customer shall be notified of changes</t>
  </si>
  <si>
    <t>Will the CSP enable Siegfried AG to export data and containers or transfer them to another provider in the event of termination of the contractual relationship?</t>
  </si>
  <si>
    <t>Agreements</t>
  </si>
  <si>
    <t>The CSP must ensure that internal employees, external service providers and suppliers who have access to the instances and data of Siegfried AG have signed the necessary non-disclosure and confidentiality agreements. CSP shall put in place a mechanism whereby the Customer shall be notified of changes</t>
  </si>
  <si>
    <t>Is it ensured that internal employees, external service providers and suppliers who have access to the instances and data of Siegfried AG have signed the necessary non-disclosure and confidentiality agreements?</t>
  </si>
  <si>
    <t>Service providers and suppliers of the CSP</t>
  </si>
  <si>
    <t>CSP shall establish docu-mented procedures that en-sure that it only engages sub-processors that can provide sufficient guarantees of compliance. 
CSP shall put in place a mechanism whereby the Customer shall be notified of any changes concerning an addition or a replacement of a sub-processor engaged by the CSP based on a general authorization by the Customer</t>
  </si>
  <si>
    <t>Does the CSP have policies and instructions in place to ensure that third parties (e.g., service providers or suppliers) that contribute to the services for provision of the cloud service meet the same cloud requirements as the CSP itself?</t>
  </si>
  <si>
    <t>Complaint management</t>
  </si>
  <si>
    <t>CSP shall establish documented procedures how to handle customer complaints about the CSP service.</t>
  </si>
  <si>
    <t>Does the CSP have a documented complaint management procedure?</t>
  </si>
  <si>
    <t>C5</t>
  </si>
  <si>
    <t xml:space="preserve">Cloud computing compliance criteria catalogue: </t>
  </si>
  <si>
    <t>Cloud computing</t>
  </si>
  <si>
    <t>paradigm for enabling network access to a scalable and elastic pool of shareable physical or virtual resources with self-service provisioning and administration on demand provided by a CSP</t>
  </si>
  <si>
    <t>CSP</t>
  </si>
  <si>
    <t>‘Cloud Service Provider’: party which processes personal data in its capacity as a Processor.</t>
  </si>
  <si>
    <t>Customer</t>
  </si>
  <si>
    <t>party which is in a business relationship with a CSP for the purpose of using Cloud Services, either being a processor itself or the controller</t>
  </si>
  <si>
    <t>CSA</t>
  </si>
  <si>
    <t>Cloud Services Agreement: the full (set of) written agreements between the CSP and the Customer, which includes their contractual obligations, including with respect to a legally binding data processing agreement.
A Cloud Services Agreement shall be in place between the CSP and the Customer, incorporating the data protection obligations under GDPR as a minimum.</t>
  </si>
  <si>
    <t>Cloud services</t>
  </si>
  <si>
    <t>One or more capabilities offered via Cloud Computing invoked using a defined interface, including but not limited to IaaS, SaaS, PaaS.</t>
  </si>
  <si>
    <t>Customer (personal) data</t>
  </si>
  <si>
    <t>Any personal data in relation to data subjects that the Customer entrusts to the CSP as part of the provision of the Cloud Services</t>
  </si>
  <si>
    <t>Data protection</t>
  </si>
  <si>
    <t xml:space="preserve">Describes the substantive rights and obligations of adhering CSPs on the basis of key principles, for instance purpose delimitations, data transfers, security, auditing, liability, data subject rights </t>
  </si>
  <si>
    <t>DLP</t>
  </si>
  <si>
    <t>Data Loss Prevention is a technology that blocks sensitive material from going outside the organization.</t>
  </si>
  <si>
    <t>IRM</t>
  </si>
  <si>
    <t>Information Rights Management is an encryption solution that maintain the encryption of the information regardless of where it is sent, and permissions to allow or deny users from taking certain actions on a piece of information.</t>
  </si>
  <si>
    <t>Information security</t>
  </si>
  <si>
    <t>Protection of the information the Cloud Service Provider’s customers processed, stored or transmitted in the cloud service with respect to the protection objectives of confidentiality, integrity, availability and authenticity.</t>
  </si>
  <si>
    <t>IaaS</t>
  </si>
  <si>
    <t xml:space="preserve">Infrastructure as a Service is a cloud computing service model by means of which "raw" computing resources are supplied by a cloud services provider. The IaaS vendor provides the storage, network, servers, and virtualization </t>
  </si>
  <si>
    <t>PaaS</t>
  </si>
  <si>
    <t xml:space="preserve">Platform as a Service The PaaS provider hosts everything—servers, networks, storage, operating system software, databases, development tools—at their data center. </t>
  </si>
  <si>
    <t>Software as a Service. This is application software you use via the cloud, as if it were installed on your computer</t>
  </si>
  <si>
    <t>Hybrid cloud</t>
  </si>
  <si>
    <t>CSP customers share some hardware, storage, and network resources with other users, and some not</t>
  </si>
  <si>
    <t>Private cloud</t>
  </si>
  <si>
    <t>CSP customers do not share the same hardware, storage, and network resources with other users</t>
  </si>
  <si>
    <t>Public cloud</t>
  </si>
  <si>
    <t>CSP customers share the same hardware, storage, and network devices with other users</t>
  </si>
  <si>
    <t>Responsibilities</t>
  </si>
  <si>
    <t>Responsibilities of the CSP and the Customer with respect to security measures under GDPR shall be defined, documented, and assigned in the Cloud Services Agreement.</t>
  </si>
  <si>
    <t>RTO</t>
  </si>
  <si>
    <t xml:space="preserve">Recovery Time Objective is a measure of application downtime that can be tolerated without any significant harm to the business. </t>
  </si>
  <si>
    <t>RPO</t>
  </si>
  <si>
    <t>Recovery Point Objective is based on the amount of data that can be lost without causing irreparable damage to the business, essentially dictating the acceptable time interval between backups.</t>
  </si>
  <si>
    <t>Control</t>
  </si>
  <si>
    <t>Annex 11 computerized systems guidelines</t>
  </si>
  <si>
    <t>GDPR compliant</t>
  </si>
  <si>
    <t>ISO 27001 ISMS</t>
  </si>
  <si>
    <t>ISO 27017 Cloud data security</t>
  </si>
  <si>
    <t>ISO 27018 Protecting personal identifiable data in the cloud</t>
  </si>
  <si>
    <t>ISO 27701 Privacy information management</t>
  </si>
  <si>
    <t>ISAE SOC type2</t>
  </si>
  <si>
    <t>C5:2020 cloud computing compliance criteria catalogue</t>
  </si>
  <si>
    <t>NIST SP 800-53 US security and privacy controls</t>
  </si>
  <si>
    <t>NIST Cybersecurity framework CSF 2.0</t>
  </si>
  <si>
    <t>1.compliance</t>
  </si>
  <si>
    <t>2.data security</t>
  </si>
  <si>
    <t>3.IT regular operation</t>
  </si>
  <si>
    <t>4.IT security monitoring</t>
  </si>
  <si>
    <t>5. Infrastructure security</t>
  </si>
  <si>
    <t>6. Safety of personnel</t>
  </si>
  <si>
    <t>7. Application security</t>
  </si>
  <si>
    <t>8.Contractual and commercial aspects</t>
  </si>
  <si>
    <t>Current</t>
  </si>
  <si>
    <t>Target</t>
  </si>
  <si>
    <t>X</t>
  </si>
  <si>
    <t>Chemical.AI / ChemAIRS</t>
  </si>
  <si>
    <t>US (AWS; us-west-1)</t>
  </si>
  <si>
    <t>Not fully autonomous in the standard SaaS model. With Azure AD SSO, Siegfried manages authentication/identities in its own IdP, and the ChemAIRS tenant administrator can reset passwords and manage roles/permissions (RBAC) within the tenant. However, user records must be pre-created on the ChemAIRS side — account creation is vendor-assisted on request (no SCIM auto-provisioning) and user removal is request-based (~1–3 weeks). Automated/self-service provisioning (SCIM) can be evaluated case-by-case.</t>
  </si>
  <si>
    <t>In multi-tenant SaaS, encryption keys are generated and managed by ChemAIRS/AWS (KMS). Customer-managed keys (BYOK) are not offered in SaaS. Local deployment gives the customer full control over keys and its own key-management principles.</t>
  </si>
  <si>
    <t>Customer-configurable source-IP / domain allowlisting for tenant access is not available in the standard SaaS environment. Network-layer protections do exist (AWS WAF, anti-DDoS, internal-only VPC/ClusterIP with no public exposure beyond the web frontend, and database access restricted to specific IP ranges), but these are provider-managed and not a customer-defined IP restriction. IP-based access restriction can be evaluated for local/dedicated deployments.</t>
  </si>
  <si>
    <t>Audit-log export is available (7-day default, up to 30-day) for customer review on request. A direct real-time SIEM/SOC log feed to Siegfried is not currently provided but can be evaluated case-by-case.</t>
  </si>
  <si>
    <t>No dedicated DLP or IRM/DRM solution is integrated into the ChemAIRS platform for customer configuration. In-platform data protection is provided through data classification (Public/Internal/Sensitive/Confidential), RBAC and least-privilege access, tenant isolation, encryption at rest/in transit, and audit logging with log export/deletion controls. Endpoint controls (USB/clipboard/screenshot/file-transfer monitoring) exist on Chemical.AI's own workstations but are internal and not customer-configurable. For local deployment, data remains entirely within the customer's environment, allowing Siegfried to apply its own DLP/IRM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</si>
</sst>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charset val="1"/>
      <scheme val="minor"/>
    </font>
    <font>
      <sz val="11"/>
      <color theme="1"/>
      <name val="Frutiger LT 45 Light"/>
      <family val="2"/>
    </font>
    <font>
      <sz val="10"/>
      <color theme="1"/>
      <name val="Frutiger LT 45 Light"/>
      <family val="2"/>
    </font>
    <font>
      <b/>
      <sz val="12"/>
      <color theme="0"/>
      <name val="Frutiger LT 45 Light"/>
      <family val="2"/>
    </font>
    <font>
      <b/>
      <sz val="12"/>
      <name val="Frutiger LT 45 Light"/>
      <family val="2"/>
    </font>
    <font>
      <sz val="10"/>
      <color rgb="FF000000"/>
      <name val="Frutiger LT 45 Light"/>
      <family val="2"/>
    </font>
    <font>
      <b/>
      <sz val="16"/>
      <color rgb="FF000000"/>
      <name val="Frutiger LT 45 Light"/>
      <family val="2"/>
    </font>
    <font>
      <b/>
      <sz val="14"/>
      <color rgb="FF000000"/>
      <name val="Frutiger LT 45 Light"/>
      <family val="2"/>
    </font>
    <font>
      <sz val="14"/>
      <color theme="1"/>
      <name val="Frutiger LT 45 Light"/>
      <family val="2"/>
    </font>
    <font>
      <b/>
      <sz val="14"/>
      <color theme="1"/>
      <name val="Frutiger LT 45 Light"/>
      <family val="2"/>
    </font>
    <font>
      <sz val="12"/>
      <color theme="0" tint="-0.34998626667073579"/>
      <name val="Frutiger LT 45 Light"/>
      <family val="2"/>
    </font>
    <font>
      <sz val="11"/>
      <name val="Calibri"/>
      <family val="2"/>
      <charset val="1"/>
      <scheme val="minor"/>
    </font>
    <font>
      <b/>
      <sz val="12"/>
      <name val="Arial Narrow"/>
      <family val="2"/>
    </font>
    <font>
      <sz val="10"/>
      <name val="Frutiger LT 45 Light"/>
      <family val="2"/>
    </font>
    <font>
      <b/>
      <sz val="10"/>
      <color theme="0"/>
      <name val="Frutiger LT 45 Light"/>
      <family val="2"/>
    </font>
    <font>
      <sz val="12"/>
      <name val="Frutiger LT 45 Light"/>
      <family val="2"/>
    </font>
    <font>
      <u/>
      <sz val="12"/>
      <color rgb="FF008080"/>
      <name val="Frutiger LT 45 Light"/>
      <family val="2"/>
    </font>
    <font>
      <sz val="11"/>
      <color rgb="FF000000"/>
      <name val="Frutiger LT 45 Light"/>
      <family val="2"/>
    </font>
    <font>
      <b/>
      <sz val="26"/>
      <name val="Frutiger LT 45 Light"/>
      <family val="2"/>
    </font>
  </fonts>
  <fills count="10">
    <fill>
      <patternFill patternType="none"/>
    </fill>
    <fill>
      <patternFill patternType="gray125"/>
    </fill>
    <fill>
      <patternFill patternType="solid">
        <fgColor theme="4" tint="0.39997558519241921"/>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s>
  <borders count="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rgb="FF999999"/>
      </top>
      <bottom style="medium">
        <color rgb="FF999999"/>
      </bottom>
      <diagonal/>
    </border>
    <border>
      <left style="thin">
        <color rgb="FF999999"/>
      </left>
      <right style="thin">
        <color rgb="FF999999"/>
      </right>
      <top style="thin">
        <color rgb="FF999999"/>
      </top>
      <bottom style="thin">
        <color rgb="FF999999"/>
      </bottom>
      <diagonal/>
    </border>
    <border>
      <left/>
      <right/>
      <top style="medium">
        <color rgb="FF999999"/>
      </top>
      <bottom/>
      <diagonal/>
    </border>
    <border>
      <left style="thin">
        <color indexed="64"/>
      </left>
      <right style="thin">
        <color indexed="64"/>
      </right>
      <top style="thin">
        <color indexed="64"/>
      </top>
      <bottom style="thin">
        <color indexed="64"/>
      </bottom>
      <diagonal/>
    </border>
    <border>
      <left style="medium">
        <color rgb="FF999999"/>
      </left>
      <right/>
      <top style="medium">
        <color rgb="FF999999"/>
      </top>
      <bottom/>
      <diagonal/>
    </border>
    <border>
      <left style="thin">
        <color rgb="FF999999"/>
      </left>
      <right style="thin">
        <color rgb="FF999999"/>
      </right>
      <top style="thin">
        <color rgb="FF999999"/>
      </top>
      <bottom/>
      <diagonal/>
    </border>
    <border>
      <left style="medium">
        <color rgb="FF999999"/>
      </left>
      <right/>
      <top/>
      <bottom/>
      <diagonal/>
    </border>
    <border>
      <left style="thin">
        <color rgb="FF999999"/>
      </left>
      <right style="thin">
        <color rgb="FF999999"/>
      </right>
      <top/>
      <bottom/>
      <diagonal/>
    </border>
  </borders>
  <cellStyleXfs count="1">
    <xf numFmtId="0" fontId="0" fillId="0" borderId="0"/>
  </cellStyleXfs>
  <cellXfs count="79">
    <xf numFmtId="0" fontId="0" fillId="0" borderId="0" xfId="0"/>
    <xf numFmtId="0" fontId="1" fillId="4" borderId="0" xfId="0" applyFont="1" applyFill="1"/>
    <xf numFmtId="0" fontId="3" fillId="5" borderId="8" xfId="0" applyFont="1" applyFill="1" applyBorder="1" applyAlignment="1">
      <alignment vertical="center" wrapText="1"/>
    </xf>
    <xf numFmtId="0" fontId="1" fillId="8" borderId="0" xfId="0" applyFont="1" applyFill="1"/>
    <xf numFmtId="0" fontId="6" fillId="8" borderId="4" xfId="0" applyFont="1" applyFill="1" applyBorder="1" applyAlignment="1">
      <alignment horizontal="left" vertical="center"/>
    </xf>
    <xf numFmtId="0" fontId="1" fillId="8" borderId="4" xfId="0" applyFont="1" applyFill="1" applyBorder="1"/>
    <xf numFmtId="0" fontId="7" fillId="8" borderId="0" xfId="0" applyFont="1" applyFill="1" applyAlignment="1">
      <alignment horizontal="left" vertical="center"/>
    </xf>
    <xf numFmtId="0" fontId="1" fillId="8" borderId="0" xfId="0" applyFont="1" applyFill="1" applyAlignment="1">
      <alignment horizontal="left" vertical="center" wrapText="1"/>
    </xf>
    <xf numFmtId="0" fontId="9" fillId="8" borderId="0" xfId="0" applyFont="1" applyFill="1" applyAlignment="1">
      <alignment horizontal="left" vertical="center"/>
    </xf>
    <xf numFmtId="0" fontId="8" fillId="8" borderId="0" xfId="0" applyFont="1" applyFill="1" applyAlignment="1">
      <alignment horizontal="left" vertical="center"/>
    </xf>
    <xf numFmtId="0" fontId="1" fillId="8" borderId="0" xfId="0" applyFont="1" applyFill="1" applyAlignment="1">
      <alignment horizontal="left" vertical="center" indent="4"/>
    </xf>
    <xf numFmtId="0" fontId="1" fillId="8" borderId="0" xfId="0" applyFont="1" applyFill="1" applyAlignment="1">
      <alignment horizontal="left" vertical="center"/>
    </xf>
    <xf numFmtId="0" fontId="8" fillId="8" borderId="0" xfId="0" applyFont="1" applyFill="1"/>
    <xf numFmtId="0" fontId="8" fillId="8" borderId="0" xfId="0" applyFont="1" applyFill="1" applyAlignment="1">
      <alignment horizontal="left" vertical="center" indent="4"/>
    </xf>
    <xf numFmtId="0" fontId="8" fillId="8" borderId="0" xfId="0" applyFont="1" applyFill="1" applyAlignment="1">
      <alignment horizontal="center" vertical="center"/>
    </xf>
    <xf numFmtId="0" fontId="8" fillId="8" borderId="5" xfId="0" applyFont="1" applyFill="1" applyBorder="1" applyAlignment="1">
      <alignment horizontal="left" vertical="center"/>
    </xf>
    <xf numFmtId="0" fontId="8" fillId="8" borderId="6" xfId="0" applyFont="1" applyFill="1" applyBorder="1" applyAlignment="1">
      <alignment horizontal="center" vertical="center"/>
    </xf>
    <xf numFmtId="0" fontId="8" fillId="8" borderId="7" xfId="0" applyFont="1" applyFill="1" applyBorder="1" applyAlignment="1">
      <alignment horizontal="center" vertical="center"/>
    </xf>
    <xf numFmtId="0" fontId="3" fillId="3" borderId="10" xfId="0" applyFont="1" applyFill="1" applyBorder="1" applyAlignment="1">
      <alignment vertical="center" wrapText="1"/>
    </xf>
    <xf numFmtId="0" fontId="3" fillId="5" borderId="9" xfId="0" applyFont="1" applyFill="1" applyBorder="1" applyAlignment="1">
      <alignment vertical="center" wrapText="1"/>
    </xf>
    <xf numFmtId="0" fontId="3" fillId="3" borderId="9" xfId="0" applyFont="1" applyFill="1" applyBorder="1" applyAlignment="1">
      <alignment vertical="center" wrapText="1"/>
    </xf>
    <xf numFmtId="0" fontId="3" fillId="3" borderId="9" xfId="0" applyFont="1" applyFill="1" applyBorder="1" applyAlignment="1">
      <alignment horizontal="center" vertical="center" wrapText="1"/>
    </xf>
    <xf numFmtId="0" fontId="1" fillId="8" borderId="0" xfId="0" applyFont="1" applyFill="1" applyAlignment="1">
      <alignment horizontal="right" wrapText="1"/>
    </xf>
    <xf numFmtId="0" fontId="4" fillId="7" borderId="13" xfId="0" applyFont="1" applyFill="1" applyBorder="1" applyAlignment="1">
      <alignment vertical="center" wrapText="1"/>
    </xf>
    <xf numFmtId="0" fontId="10" fillId="7" borderId="13" xfId="0" applyFont="1" applyFill="1" applyBorder="1" applyAlignment="1">
      <alignment horizontal="center" vertical="center" wrapText="1"/>
    </xf>
    <xf numFmtId="0" fontId="2" fillId="8" borderId="11" xfId="0" applyFont="1" applyFill="1" applyBorder="1" applyAlignment="1">
      <alignment vertical="center" wrapText="1"/>
    </xf>
    <xf numFmtId="0" fontId="2" fillId="8" borderId="11"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11" xfId="0" applyFont="1" applyFill="1" applyBorder="1" applyAlignment="1">
      <alignment vertical="center" wrapText="1"/>
    </xf>
    <xf numFmtId="0" fontId="4" fillId="7" borderId="15" xfId="0" applyFont="1" applyFill="1" applyBorder="1" applyAlignment="1">
      <alignment vertical="center" wrapText="1"/>
    </xf>
    <xf numFmtId="0" fontId="10" fillId="7" borderId="15" xfId="0" applyFont="1" applyFill="1" applyBorder="1" applyAlignment="1">
      <alignment horizontal="center" vertical="center" wrapText="1"/>
    </xf>
    <xf numFmtId="0" fontId="2" fillId="8" borderId="11" xfId="0" applyFont="1" applyFill="1" applyBorder="1" applyAlignment="1">
      <alignment horizontal="left" vertical="center" wrapText="1"/>
    </xf>
    <xf numFmtId="0" fontId="1" fillId="4" borderId="0" xfId="0" applyFont="1" applyFill="1" applyAlignment="1">
      <alignment wrapText="1"/>
    </xf>
    <xf numFmtId="0" fontId="1" fillId="8" borderId="0" xfId="0" applyFont="1" applyFill="1" applyAlignment="1">
      <alignment wrapText="1"/>
    </xf>
    <xf numFmtId="0" fontId="2" fillId="8" borderId="5" xfId="0" applyFont="1" applyFill="1" applyBorder="1" applyAlignment="1">
      <alignment horizontal="center" vertical="center" wrapText="1"/>
    </xf>
    <xf numFmtId="0" fontId="1" fillId="4" borderId="0" xfId="0" applyFont="1" applyFill="1" applyAlignment="1">
      <alignment horizontal="center"/>
    </xf>
    <xf numFmtId="0" fontId="3" fillId="5" borderId="0" xfId="0" applyFont="1" applyFill="1" applyAlignment="1">
      <alignment horizontal="center" vertical="center" wrapText="1"/>
    </xf>
    <xf numFmtId="0" fontId="3" fillId="3" borderId="0" xfId="0" applyFont="1" applyFill="1" applyAlignment="1">
      <alignment horizontal="center" vertical="center" wrapText="1"/>
    </xf>
    <xf numFmtId="0" fontId="4" fillId="7" borderId="0" xfId="0" applyFont="1" applyFill="1" applyAlignment="1">
      <alignment horizontal="center" vertical="center" wrapText="1"/>
    </xf>
    <xf numFmtId="0" fontId="1" fillId="8" borderId="0" xfId="0" applyFont="1" applyFill="1" applyAlignment="1">
      <alignment horizontal="center"/>
    </xf>
    <xf numFmtId="0" fontId="4" fillId="7" borderId="14" xfId="0" applyFont="1" applyFill="1" applyBorder="1" applyAlignment="1">
      <alignment vertical="center"/>
    </xf>
    <xf numFmtId="0" fontId="4" fillId="7" borderId="14" xfId="0" applyFont="1" applyFill="1" applyBorder="1" applyAlignment="1">
      <alignment horizontal="left" vertical="center"/>
    </xf>
    <xf numFmtId="0" fontId="4" fillId="7" borderId="12" xfId="0" applyFont="1" applyFill="1" applyBorder="1" applyAlignment="1">
      <alignment vertical="center"/>
    </xf>
    <xf numFmtId="0" fontId="11" fillId="0" borderId="0" xfId="0" applyFont="1"/>
    <xf numFmtId="0" fontId="12" fillId="0" borderId="0" xfId="0" applyFont="1" applyAlignment="1">
      <alignment vertical="center" wrapText="1"/>
    </xf>
    <xf numFmtId="0" fontId="13" fillId="0" borderId="11" xfId="0" applyFont="1" applyBorder="1" applyAlignment="1">
      <alignment vertical="center" wrapText="1"/>
    </xf>
    <xf numFmtId="0" fontId="14" fillId="3" borderId="11" xfId="0" applyFont="1" applyFill="1" applyBorder="1" applyAlignment="1">
      <alignment vertical="center" wrapText="1"/>
    </xf>
    <xf numFmtId="0" fontId="8" fillId="8" borderId="1" xfId="0" applyFont="1" applyFill="1" applyBorder="1" applyAlignment="1">
      <alignment horizontal="left" vertical="center"/>
    </xf>
    <xf numFmtId="0" fontId="8" fillId="8" borderId="0" xfId="0" applyFont="1" applyFill="1" applyAlignment="1">
      <alignment horizontal="right" vertical="center"/>
    </xf>
    <xf numFmtId="0" fontId="1" fillId="4" borderId="0" xfId="0" applyFont="1" applyFill="1" applyAlignment="1">
      <alignment horizontal="left" wrapText="1"/>
    </xf>
    <xf numFmtId="0" fontId="3" fillId="5" borderId="9" xfId="0" applyFont="1" applyFill="1" applyBorder="1" applyAlignment="1">
      <alignment horizontal="left" vertical="center" wrapText="1"/>
    </xf>
    <xf numFmtId="0" fontId="3" fillId="3" borderId="9" xfId="0" applyFont="1" applyFill="1" applyBorder="1" applyAlignment="1">
      <alignment horizontal="left" vertical="center" wrapText="1"/>
    </xf>
    <xf numFmtId="0" fontId="4" fillId="7" borderId="13" xfId="0" applyFont="1" applyFill="1" applyBorder="1" applyAlignment="1">
      <alignment horizontal="left" vertical="center" wrapText="1"/>
    </xf>
    <xf numFmtId="0" fontId="4" fillId="7" borderId="15" xfId="0" applyFont="1" applyFill="1" applyBorder="1" applyAlignment="1">
      <alignment horizontal="left" vertical="center" wrapText="1"/>
    </xf>
    <xf numFmtId="0" fontId="5" fillId="8" borderId="11" xfId="0" applyFont="1" applyFill="1" applyBorder="1" applyAlignment="1">
      <alignment horizontal="left" vertical="center" wrapText="1"/>
    </xf>
    <xf numFmtId="0" fontId="1" fillId="8" borderId="0" xfId="0" applyFont="1" applyFill="1" applyAlignment="1">
      <alignment horizontal="left" wrapText="1"/>
    </xf>
    <xf numFmtId="0" fontId="8" fillId="8" borderId="0" xfId="0" applyFont="1" applyFill="1" applyAlignment="1">
      <alignment horizontal="left" vertical="center" wrapText="1"/>
    </xf>
    <xf numFmtId="0" fontId="1" fillId="0" borderId="0" xfId="0" applyFont="1"/>
    <xf numFmtId="0" fontId="15" fillId="9" borderId="5" xfId="0" applyFont="1" applyFill="1" applyBorder="1" applyAlignment="1">
      <alignment vertical="center" wrapText="1"/>
    </xf>
    <xf numFmtId="0" fontId="16" fillId="0" borderId="11" xfId="0" applyFont="1" applyBorder="1" applyAlignment="1">
      <alignment vertical="center" wrapText="1"/>
    </xf>
    <xf numFmtId="0" fontId="3" fillId="3" borderId="11" xfId="0" applyFont="1" applyFill="1" applyBorder="1" applyAlignment="1">
      <alignment vertical="center" wrapText="1"/>
    </xf>
    <xf numFmtId="0" fontId="15" fillId="9" borderId="5" xfId="0" applyFont="1" applyFill="1" applyBorder="1" applyAlignment="1">
      <alignment horizontal="center" vertical="center" wrapText="1"/>
    </xf>
    <xf numFmtId="0" fontId="15" fillId="9" borderId="11" xfId="0" applyFont="1" applyFill="1" applyBorder="1" applyAlignment="1">
      <alignment horizontal="center" vertical="center" wrapText="1"/>
    </xf>
    <xf numFmtId="0" fontId="0" fillId="0" borderId="0" xfId="0" applyAlignment="1">
      <alignment horizontal="left" vertical="center" wrapText="1"/>
    </xf>
    <xf numFmtId="0" fontId="2" fillId="8" borderId="11" xfId="0" applyFont="1" applyFill="1" applyBorder="1" applyAlignment="1">
      <alignment vertical="top" wrapText="1"/>
    </xf>
    <xf numFmtId="0" fontId="18" fillId="8" borderId="1" xfId="0" applyFont="1" applyFill="1" applyBorder="1" applyAlignment="1">
      <alignment horizontal="left" vertical="top" wrapText="1"/>
    </xf>
    <xf numFmtId="0" fontId="18" fillId="8" borderId="1" xfId="0" applyFont="1" applyFill="1" applyBorder="1" applyAlignment="1">
      <alignment horizontal="left" vertical="top"/>
    </xf>
    <xf numFmtId="0" fontId="8" fillId="8" borderId="2" xfId="0" applyFont="1" applyFill="1" applyBorder="1" applyAlignment="1">
      <alignment horizontal="center" vertical="center"/>
    </xf>
    <xf numFmtId="0" fontId="8" fillId="8" borderId="3" xfId="0" applyFont="1" applyFill="1" applyBorder="1" applyAlignment="1">
      <alignment horizontal="center" vertical="center"/>
    </xf>
    <xf numFmtId="0" fontId="8" fillId="8" borderId="0" xfId="0" applyFont="1" applyFill="1" applyAlignment="1">
      <alignment horizontal="left" vertical="center" wrapText="1"/>
    </xf>
    <xf numFmtId="0" fontId="2" fillId="8" borderId="11" xfId="0" applyFont="1" applyFill="1" applyBorder="1" applyAlignment="1">
      <alignment vertical="center" wrapText="1"/>
    </xf>
    <xf numFmtId="0" fontId="2" fillId="8" borderId="11" xfId="0" applyFont="1" applyFill="1" applyBorder="1" applyAlignment="1">
      <alignment horizontal="left" vertical="center" wrapText="1"/>
    </xf>
    <xf numFmtId="0" fontId="2" fillId="8" borderId="5"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5" xfId="0" applyFont="1" applyFill="1" applyBorder="1" applyAlignment="1">
      <alignment horizontal="left" vertical="center" wrapText="1"/>
    </xf>
    <xf numFmtId="0" fontId="2" fillId="8" borderId="7" xfId="0" applyFont="1" applyFill="1" applyBorder="1" applyAlignment="1">
      <alignment horizontal="left" vertical="center" wrapText="1"/>
    </xf>
    <xf numFmtId="0" fontId="3" fillId="6" borderId="9" xfId="0" applyFont="1" applyFill="1" applyBorder="1" applyAlignment="1">
      <alignment horizontal="left" vertical="center" wrapText="1"/>
    </xf>
    <xf numFmtId="0" fontId="3" fillId="2" borderId="9" xfId="0" applyFont="1" applyFill="1" applyBorder="1" applyAlignment="1">
      <alignment horizontal="left" vertical="center" wrapText="1"/>
    </xf>
  </cellXfs>
  <cellStyles count="1">
    <cellStyle name="Normal" xfId="0" builtinId="0"/>
  </cellStyles>
  <dxfs count="11">
    <dxf>
      <fill>
        <patternFill>
          <bgColor theme="1"/>
        </patternFill>
      </fill>
    </dxf>
    <dxf>
      <fill>
        <patternFill>
          <bgColor theme="4" tint="0.39994506668294322"/>
        </patternFill>
      </fill>
      <border>
        <left style="thin">
          <color theme="4" tint="-0.499984740745262"/>
        </left>
        <right style="thin">
          <color theme="4" tint="-0.499984740745262"/>
        </right>
        <top style="thin">
          <color theme="4" tint="-0.499984740745262"/>
        </top>
        <bottom style="thin">
          <color theme="4" tint="-0.499984740745262"/>
        </bottom>
        <vertical/>
        <horizontal/>
      </border>
    </dxf>
    <dxf>
      <font>
        <color rgb="FF9C6500"/>
      </font>
      <fill>
        <patternFill>
          <bgColor rgb="FFFFEB9C"/>
        </patternFill>
      </fill>
    </dxf>
    <dxf>
      <font>
        <color rgb="FF9C0006"/>
      </font>
      <fill>
        <patternFill>
          <bgColor rgb="FFFFC7CE"/>
        </patternFill>
      </fill>
    </dxf>
    <dxf>
      <fill>
        <patternFill>
          <bgColor theme="4" tint="0.39994506668294322"/>
        </patternFill>
      </fill>
      <border>
        <left style="thin">
          <color theme="4" tint="-0.499984740745262"/>
        </left>
        <right style="thin">
          <color theme="4" tint="-0.499984740745262"/>
        </right>
        <top style="thin">
          <color theme="4" tint="-0.499984740745262"/>
        </top>
        <bottom style="thin">
          <color theme="4" tint="-0.499984740745262"/>
        </bottom>
        <vertical/>
        <horizontal/>
      </border>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ES" b="0"/>
              <a:t>Risk assessment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150"/>
        </a:p>
      </c:txPr>
    </c:title>
    <c:autoTitleDeleted val="0"/>
    <c:plotArea>
      <c:layout/>
      <c:radarChart>
        <c:radarStyle val="marker"/>
        <c:varyColors val="0"/>
        <c:ser>
          <c:idx val="0"/>
          <c:order val="0"/>
          <c:tx>
            <c:strRef>
              <c:f>Assessment!$C$1</c:f>
              <c:strCache>
                <c:ptCount val="1"/>
                <c:pt idx="0">
                  <c:v>Current</c:v>
                </c:pt>
              </c:strCache>
            </c:strRef>
          </c:tx>
          <c:spPr>
            <a:ln w="25400" cap="rnd" cmpd="sng" algn="ctr">
              <a:solidFill>
                <a:schemeClr val="accent1"/>
              </a:solidFill>
              <a:prstDash val="sysDot"/>
              <a:round/>
            </a:ln>
            <a:effectLst/>
          </c:spPr>
          <c:marker>
            <c:symbol val="none"/>
          </c:marker>
          <c:cat>
            <c:strRef>
              <c:f>Assessment!$B$2:$B$9</c:f>
              <c:strCache>
                <c:ptCount val="8"/>
                <c:pt idx="0">
                  <c:v>1.     Compliance</c:v>
                </c:pt>
                <c:pt idx="1">
                  <c:v>2.     Data security</c:v>
                </c:pt>
                <c:pt idx="2">
                  <c:v>3.     IT regular operation</c:v>
                </c:pt>
                <c:pt idx="3">
                  <c:v>4.     IT security monitoring</c:v>
                </c:pt>
                <c:pt idx="4">
                  <c:v>5.     Infrastructure security</c:v>
                </c:pt>
                <c:pt idx="5">
                  <c:v>6.     Safety of personnel</c:v>
                </c:pt>
                <c:pt idx="6">
                  <c:v>7.     Application security</c:v>
                </c:pt>
                <c:pt idx="7">
                  <c:v>8.     Contractual and commercial aspects</c:v>
                </c:pt>
              </c:strCache>
            </c:strRef>
          </c:cat>
          <c:val>
            <c:numRef>
              <c:f>Assessment!$C$2:$C$9</c:f>
              <c:numCache>
                <c:formatCode>General</c:formatCode>
                <c:ptCount val="8"/>
                <c:pt idx="0">
                  <c:v>13</c:v>
                </c:pt>
                <c:pt idx="1">
                  <c:v>8</c:v>
                </c:pt>
                <c:pt idx="2">
                  <c:v>11</c:v>
                </c:pt>
                <c:pt idx="3">
                  <c:v>4</c:v>
                </c:pt>
                <c:pt idx="4">
                  <c:v>5</c:v>
                </c:pt>
                <c:pt idx="5">
                  <c:v>3</c:v>
                </c:pt>
                <c:pt idx="6">
                  <c:v>2</c:v>
                </c:pt>
                <c:pt idx="7">
                  <c:v>6</c:v>
                </c:pt>
              </c:numCache>
            </c:numRef>
          </c:val>
          <c:extLst>
            <c:ext xmlns:c16="http://schemas.microsoft.com/office/drawing/2014/chart" uri="{C3380CC4-5D6E-409C-BE32-E72D297353CC}">
              <c16:uniqueId val="{00000000-3D20-41C4-B6E4-87FAD474144C}"/>
            </c:ext>
          </c:extLst>
        </c:ser>
        <c:ser>
          <c:idx val="1"/>
          <c:order val="1"/>
          <c:tx>
            <c:strRef>
              <c:f>Assessment!$D$1</c:f>
              <c:strCache>
                <c:ptCount val="1"/>
                <c:pt idx="0">
                  <c:v>Target</c:v>
                </c:pt>
              </c:strCache>
            </c:strRef>
          </c:tx>
          <c:spPr>
            <a:ln w="25400" cap="rnd" cmpd="sng" algn="ctr">
              <a:solidFill>
                <a:schemeClr val="accent2"/>
              </a:solidFill>
              <a:prstDash val="sysDot"/>
              <a:round/>
            </a:ln>
            <a:effectLst/>
          </c:spPr>
          <c:marker>
            <c:symbol val="none"/>
          </c:marker>
          <c:cat>
            <c:strRef>
              <c:f>Assessment!$B$2:$B$9</c:f>
              <c:strCache>
                <c:ptCount val="8"/>
                <c:pt idx="0">
                  <c:v>1.     Compliance</c:v>
                </c:pt>
                <c:pt idx="1">
                  <c:v>2.     Data security</c:v>
                </c:pt>
                <c:pt idx="2">
                  <c:v>3.     IT regular operation</c:v>
                </c:pt>
                <c:pt idx="3">
                  <c:v>4.     IT security monitoring</c:v>
                </c:pt>
                <c:pt idx="4">
                  <c:v>5.     Infrastructure security</c:v>
                </c:pt>
                <c:pt idx="5">
                  <c:v>6.     Safety of personnel</c:v>
                </c:pt>
                <c:pt idx="6">
                  <c:v>7.     Application security</c:v>
                </c:pt>
                <c:pt idx="7">
                  <c:v>8.     Contractual and commercial aspects</c:v>
                </c:pt>
              </c:strCache>
            </c:strRef>
          </c:cat>
          <c:val>
            <c:numRef>
              <c:f>Assessment!$D$2:$D$9</c:f>
              <c:numCache>
                <c:formatCode>General</c:formatCode>
                <c:ptCount val="8"/>
                <c:pt idx="0">
                  <c:v>14</c:v>
                </c:pt>
                <c:pt idx="1">
                  <c:v>12</c:v>
                </c:pt>
                <c:pt idx="2">
                  <c:v>11</c:v>
                </c:pt>
                <c:pt idx="3">
                  <c:v>5</c:v>
                </c:pt>
                <c:pt idx="4">
                  <c:v>5</c:v>
                </c:pt>
                <c:pt idx="5">
                  <c:v>3</c:v>
                </c:pt>
                <c:pt idx="6">
                  <c:v>2</c:v>
                </c:pt>
                <c:pt idx="7">
                  <c:v>6</c:v>
                </c:pt>
              </c:numCache>
            </c:numRef>
          </c:val>
          <c:extLst>
            <c:ext xmlns:c16="http://schemas.microsoft.com/office/drawing/2014/chart" uri="{C3380CC4-5D6E-409C-BE32-E72D297353CC}">
              <c16:uniqueId val="{00000001-3D20-41C4-B6E4-87FAD474144C}"/>
            </c:ext>
          </c:extLst>
        </c:ser>
        <c:dLbls>
          <c:showLegendKey val="0"/>
          <c:showVal val="0"/>
          <c:showCatName val="0"/>
          <c:showSerName val="0"/>
          <c:showPercent val="0"/>
          <c:showBubbleSize val="0"/>
        </c:dLbls>
        <c:axId val="545450608"/>
        <c:axId val="545449952"/>
      </c:radarChart>
      <c:catAx>
        <c:axId val="5454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45449952"/>
        <c:crosses val="autoZero"/>
        <c:auto val="1"/>
        <c:lblAlgn val="ctr"/>
        <c:lblOffset val="100"/>
        <c:noMultiLvlLbl val="0"/>
      </c:catAx>
      <c:valAx>
        <c:axId val="545449952"/>
        <c:scaling>
          <c:orientation val="minMax"/>
        </c:scaling>
        <c:delete val="0"/>
        <c:axPos val="l"/>
        <c:majorGridlines>
          <c:spPr>
            <a:ln w="9525" cap="flat" cmpd="sng" algn="ctr">
              <a:solidFill>
                <a:schemeClr val="bg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454506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chart>
  <c:spPr>
    <a:solidFill>
      <a:schemeClr val="bg1"/>
    </a:solidFill>
    <a:ln w="9525" cap="flat" cmpd="sng" algn="ctr">
      <a:noFill/>
      <a:round/>
    </a:ln>
    <a:effectLst/>
  </c:spPr>
  <c:txPr>
    <a:bodyPr/>
    <a:lstStyle/>
    <a:p>
      <a:pPr>
        <a:defRPr/>
      </a:pPr>
      <a:endParaRPr lang="en-150"/>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536863</xdr:colOff>
      <xdr:row>52</xdr:row>
      <xdr:rowOff>149127</xdr:rowOff>
    </xdr:from>
    <xdr:to>
      <xdr:col>4</xdr:col>
      <xdr:colOff>39448</xdr:colOff>
      <xdr:row>82</xdr:row>
      <xdr:rowOff>37522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1</xdr:col>
      <xdr:colOff>1095528</xdr:colOff>
      <xdr:row>1</xdr:row>
      <xdr:rowOff>476316</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613833" y="190500"/>
          <a:ext cx="1095528" cy="476316"/>
        </a:xfrm>
        <a:prstGeom prst="rect">
          <a:avLst/>
        </a:prstGeom>
      </xdr:spPr>
    </xdr:pic>
    <xdr:clientData/>
  </xdr:twoCellAnchor>
  <xdr:twoCellAnchor editAs="oneCell">
    <xdr:from>
      <xdr:col>1</xdr:col>
      <xdr:colOff>2307167</xdr:colOff>
      <xdr:row>17</xdr:row>
      <xdr:rowOff>116417</xdr:rowOff>
    </xdr:from>
    <xdr:to>
      <xdr:col>2</xdr:col>
      <xdr:colOff>1937385</xdr:colOff>
      <xdr:row>17</xdr:row>
      <xdr:rowOff>3262207</xdr:rowOff>
    </xdr:to>
    <xdr:pic>
      <xdr:nvPicPr>
        <xdr:cNvPr id="4" name="Grafik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21000" y="4296834"/>
          <a:ext cx="4255135" cy="314579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E49"/>
  <sheetViews>
    <sheetView view="pageLayout" topLeftCell="B31" zoomScale="110" zoomScaleNormal="90" zoomScalePageLayoutView="110" workbookViewId="0">
      <selection activeCell="B20" sqref="B20"/>
    </sheetView>
  </sheetViews>
  <sheetFormatPr baseColWidth="10" defaultColWidth="9.1640625" defaultRowHeight="14"/>
  <cols>
    <col min="1" max="1" width="9.1640625" style="3"/>
    <col min="2" max="2" width="69.5" style="3" customWidth="1"/>
    <col min="3" max="3" width="82.1640625" style="3" customWidth="1"/>
    <col min="4" max="16384" width="9.1640625" style="3"/>
  </cols>
  <sheetData>
    <row r="2" spans="2:3" ht="42" customHeight="1">
      <c r="C2" s="22" t="s">
        <v>0</v>
      </c>
    </row>
    <row r="4" spans="2:3" ht="33">
      <c r="B4" s="65" t="s">
        <v>1</v>
      </c>
      <c r="C4" s="66"/>
    </row>
    <row r="7" spans="2:3" ht="22" thickBot="1">
      <c r="B7" s="4" t="s">
        <v>2</v>
      </c>
      <c r="C7" s="5"/>
    </row>
    <row r="8" spans="2:3" ht="18">
      <c r="B8" s="6"/>
    </row>
    <row r="9" spans="2:3" ht="18">
      <c r="B9" s="69" t="s">
        <v>3</v>
      </c>
      <c r="C9" s="69"/>
    </row>
    <row r="10" spans="2:3" ht="18">
      <c r="B10" s="9" t="s">
        <v>4</v>
      </c>
      <c r="C10" s="56"/>
    </row>
    <row r="11" spans="2:3" ht="18">
      <c r="B11" s="69" t="s">
        <v>5</v>
      </c>
      <c r="C11" s="69"/>
    </row>
    <row r="12" spans="2:3" ht="18">
      <c r="B12" s="69" t="s">
        <v>6</v>
      </c>
      <c r="C12" s="69"/>
    </row>
    <row r="13" spans="2:3" ht="18">
      <c r="B13" s="69" t="s">
        <v>7</v>
      </c>
      <c r="C13" s="69"/>
    </row>
    <row r="14" spans="2:3" ht="18">
      <c r="B14" s="9" t="s">
        <v>8</v>
      </c>
      <c r="C14" s="56"/>
    </row>
    <row r="15" spans="2:3" ht="18">
      <c r="B15" s="9" t="s">
        <v>9</v>
      </c>
      <c r="C15" s="56"/>
    </row>
    <row r="16" spans="2:3" ht="18">
      <c r="B16" s="9" t="s">
        <v>10</v>
      </c>
      <c r="C16" s="56"/>
    </row>
    <row r="17" spans="2:5" ht="18">
      <c r="B17" s="9" t="s">
        <v>11</v>
      </c>
      <c r="C17" s="56"/>
    </row>
    <row r="18" spans="2:5" ht="266.25" customHeight="1">
      <c r="B18" s="56"/>
      <c r="C18" s="56"/>
    </row>
    <row r="19" spans="2:5" ht="39.75" customHeight="1">
      <c r="B19" s="69" t="s">
        <v>12</v>
      </c>
      <c r="C19" s="69"/>
    </row>
    <row r="20" spans="2:5" ht="39.75" customHeight="1">
      <c r="B20" s="56"/>
      <c r="C20" s="56"/>
    </row>
    <row r="21" spans="2:5">
      <c r="B21" s="7"/>
      <c r="C21" s="7"/>
    </row>
    <row r="23" spans="2:5" ht="22" thickBot="1">
      <c r="B23" s="4" t="s">
        <v>13</v>
      </c>
      <c r="C23" s="5"/>
    </row>
    <row r="24" spans="2:5" ht="18">
      <c r="B24" s="6"/>
    </row>
    <row r="25" spans="2:5" ht="18">
      <c r="B25" s="8" t="s">
        <v>14</v>
      </c>
    </row>
    <row r="26" spans="2:5" ht="18">
      <c r="B26" s="9" t="s">
        <v>15</v>
      </c>
      <c r="C26" s="47" t="s">
        <v>274</v>
      </c>
      <c r="D26" s="10"/>
    </row>
    <row r="27" spans="2:5" ht="18">
      <c r="B27" s="9" t="s">
        <v>16</v>
      </c>
      <c r="C27" s="47" t="s">
        <v>275</v>
      </c>
      <c r="E27" s="10"/>
    </row>
    <row r="28" spans="2:5" ht="18">
      <c r="B28" s="9" t="s">
        <v>17</v>
      </c>
      <c r="C28" s="47" t="s">
        <v>37</v>
      </c>
      <c r="D28" s="10"/>
    </row>
    <row r="29" spans="2:5" ht="18">
      <c r="B29" s="11"/>
      <c r="C29" s="9"/>
      <c r="D29" s="10"/>
    </row>
    <row r="30" spans="2:5" ht="22" thickBot="1">
      <c r="B30" s="4" t="s">
        <v>18</v>
      </c>
      <c r="C30" s="4"/>
      <c r="D30" s="10"/>
    </row>
    <row r="31" spans="2:5" ht="18">
      <c r="B31" s="48" t="s">
        <v>19</v>
      </c>
      <c r="C31" s="47"/>
      <c r="D31" s="10"/>
    </row>
    <row r="32" spans="2:5" ht="18">
      <c r="B32" s="48" t="s">
        <v>20</v>
      </c>
      <c r="C32" s="47"/>
      <c r="D32" s="10"/>
    </row>
    <row r="33" spans="2:4" ht="18">
      <c r="B33" s="48" t="s">
        <v>21</v>
      </c>
      <c r="C33" s="47"/>
      <c r="D33" s="10"/>
    </row>
    <row r="35" spans="2:4" ht="22" thickBot="1">
      <c r="B35" s="4" t="s">
        <v>22</v>
      </c>
      <c r="C35" s="5"/>
    </row>
    <row r="36" spans="2:4" ht="18">
      <c r="B36" s="6"/>
    </row>
    <row r="37" spans="2:4" ht="18">
      <c r="B37" s="8" t="s">
        <v>23</v>
      </c>
      <c r="C37" s="12"/>
    </row>
    <row r="38" spans="2:4" ht="18">
      <c r="B38" s="9" t="s">
        <v>24</v>
      </c>
      <c r="C38" s="13"/>
    </row>
    <row r="39" spans="2:4" ht="18">
      <c r="B39" s="9" t="s">
        <v>25</v>
      </c>
      <c r="C39" s="13"/>
    </row>
    <row r="40" spans="2:4" ht="18">
      <c r="B40" s="9" t="s">
        <v>26</v>
      </c>
      <c r="C40" s="13"/>
    </row>
    <row r="41" spans="2:4" ht="74.25" customHeight="1">
      <c r="B41" s="67"/>
      <c r="C41" s="68"/>
    </row>
    <row r="42" spans="2:4" ht="18">
      <c r="B42" s="14"/>
      <c r="C42" s="14"/>
    </row>
    <row r="43" spans="2:4" ht="18">
      <c r="B43" s="9" t="s">
        <v>27</v>
      </c>
      <c r="C43" s="14"/>
    </row>
    <row r="44" spans="2:4" ht="18">
      <c r="B44" s="15"/>
      <c r="C44" s="14"/>
    </row>
    <row r="45" spans="2:4" ht="18">
      <c r="B45" s="16"/>
      <c r="C45" s="14"/>
    </row>
    <row r="46" spans="2:4" ht="18">
      <c r="B46" s="16"/>
      <c r="C46" s="14"/>
    </row>
    <row r="47" spans="2:4" ht="18">
      <c r="B47" s="17"/>
      <c r="C47" s="14"/>
    </row>
    <row r="48" spans="2:4" ht="18">
      <c r="B48" s="14"/>
      <c r="C48" s="14"/>
    </row>
    <row r="49" spans="2:3" ht="18">
      <c r="B49" s="9" t="s">
        <v>28</v>
      </c>
      <c r="C49" s="12"/>
    </row>
  </sheetData>
  <mergeCells count="7">
    <mergeCell ref="B4:C4"/>
    <mergeCell ref="B41:C41"/>
    <mergeCell ref="B9:C9"/>
    <mergeCell ref="B11:C11"/>
    <mergeCell ref="B12:C12"/>
    <mergeCell ref="B13:C13"/>
    <mergeCell ref="B19:C19"/>
  </mergeCells>
  <dataValidations count="3">
    <dataValidation type="list" allowBlank="1" showInputMessage="1" showErrorMessage="1" sqref="C31" xr:uid="{00000000-0002-0000-0000-000000000000}">
      <formula1>"Public,Business use Only,Confidential,Strictly Confidential"</formula1>
    </dataValidation>
    <dataValidation type="list" allowBlank="1" showInputMessage="1" showErrorMessage="1" sqref="C32" xr:uid="{00000000-0002-0000-0000-000001000000}">
      <formula1>"IaaS,PaaS,SaaS"</formula1>
    </dataValidation>
    <dataValidation type="list" allowBlank="1" showInputMessage="1" showErrorMessage="1" sqref="C33" xr:uid="{00000000-0002-0000-0000-000002000000}">
      <formula1>"Public,Private,Hybrid"</formula1>
    </dataValidation>
  </dataValidations>
  <pageMargins left="0.7" right="0.7" top="0.75" bottom="0.75" header="0.3" footer="0.3"/>
  <pageSetup paperSize="9" scale="46"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589"/>
  <sheetViews>
    <sheetView tabSelected="1" zoomScaleNormal="100" zoomScalePageLayoutView="60" workbookViewId="0">
      <pane xSplit="1" ySplit="3" topLeftCell="E4" activePane="bottomRight" state="frozen"/>
      <selection pane="topRight" activeCell="B1" sqref="B1"/>
      <selection pane="bottomLeft" activeCell="A4" sqref="A4"/>
      <selection pane="bottomRight" activeCell="J49" sqref="J49"/>
    </sheetView>
  </sheetViews>
  <sheetFormatPr baseColWidth="10" defaultColWidth="9.1640625" defaultRowHeight="14"/>
  <cols>
    <col min="1" max="1" width="2.1640625" style="3" customWidth="1"/>
    <col min="2" max="2" width="17.5" style="1" customWidth="1"/>
    <col min="3" max="4" width="16.5" style="35" customWidth="1"/>
    <col min="5" max="5" width="42.5" style="49" customWidth="1"/>
    <col min="6" max="6" width="41" style="32" customWidth="1"/>
    <col min="7" max="7" width="9.6640625" style="1" bestFit="1" customWidth="1"/>
    <col min="8" max="8" width="8.83203125" style="1" bestFit="1" customWidth="1"/>
    <col min="9" max="9" width="10" style="1" bestFit="1" customWidth="1"/>
    <col min="10" max="10" width="43.33203125" style="1" customWidth="1"/>
    <col min="11" max="11" width="13" style="1" bestFit="1" customWidth="1"/>
    <col min="12" max="12" width="16.5" style="1" customWidth="1"/>
    <col min="13" max="13" width="40.33203125" style="1" customWidth="1"/>
    <col min="14" max="16384" width="9.1640625" style="1"/>
  </cols>
  <sheetData>
    <row r="1" spans="2:13" ht="15" thickBot="1"/>
    <row r="2" spans="2:13" ht="18" thickBot="1">
      <c r="B2" s="2" t="s">
        <v>29</v>
      </c>
      <c r="C2" s="36"/>
      <c r="D2" s="36"/>
      <c r="E2" s="50"/>
      <c r="F2" s="19"/>
      <c r="G2" s="77" t="s">
        <v>30</v>
      </c>
      <c r="H2" s="77"/>
      <c r="I2" s="77"/>
      <c r="J2" s="77"/>
      <c r="K2" s="78" t="s">
        <v>31</v>
      </c>
      <c r="L2" s="78"/>
      <c r="M2" s="78"/>
    </row>
    <row r="3" spans="2:13" ht="35" thickBot="1">
      <c r="B3" s="18" t="s">
        <v>32</v>
      </c>
      <c r="C3" s="37" t="s">
        <v>33</v>
      </c>
      <c r="D3" s="37" t="s">
        <v>34</v>
      </c>
      <c r="E3" s="51" t="s">
        <v>35</v>
      </c>
      <c r="F3" s="20" t="s">
        <v>36</v>
      </c>
      <c r="G3" s="21" t="s">
        <v>37</v>
      </c>
      <c r="H3" s="21" t="s">
        <v>38</v>
      </c>
      <c r="I3" s="21" t="s">
        <v>39</v>
      </c>
      <c r="J3" s="20" t="s">
        <v>40</v>
      </c>
      <c r="K3" s="20" t="s">
        <v>41</v>
      </c>
      <c r="L3" s="20" t="s">
        <v>42</v>
      </c>
      <c r="M3" s="20" t="s">
        <v>43</v>
      </c>
    </row>
    <row r="4" spans="2:13" ht="16">
      <c r="B4" s="42" t="s">
        <v>44</v>
      </c>
      <c r="C4" s="38"/>
      <c r="D4" s="38"/>
      <c r="E4" s="52"/>
      <c r="F4" s="23"/>
      <c r="G4" s="24">
        <f>COUNTA(G5:G18)</f>
        <v>13</v>
      </c>
      <c r="H4" s="24">
        <f t="shared" ref="H4:I4" si="0">COUNTA(H5:H18)</f>
        <v>1</v>
      </c>
      <c r="I4" s="24">
        <f t="shared" si="0"/>
        <v>0</v>
      </c>
      <c r="J4" s="23"/>
      <c r="K4" s="23"/>
      <c r="L4" s="23"/>
      <c r="M4" s="23"/>
    </row>
    <row r="5" spans="2:13" ht="28">
      <c r="B5" s="25" t="s">
        <v>45</v>
      </c>
      <c r="C5" s="26" t="s">
        <v>46</v>
      </c>
      <c r="D5" s="26" t="s">
        <v>46</v>
      </c>
      <c r="E5" s="31" t="s">
        <v>47</v>
      </c>
      <c r="F5" s="25" t="s">
        <v>48</v>
      </c>
      <c r="G5" s="26" t="s">
        <v>273</v>
      </c>
      <c r="H5" s="26"/>
      <c r="I5" s="26"/>
      <c r="J5" s="25"/>
      <c r="K5" s="27" t="str">
        <f>IF(ISBLANK(G5),"Yes","No")</f>
        <v>No</v>
      </c>
      <c r="L5" s="28"/>
      <c r="M5" s="28"/>
    </row>
    <row r="6" spans="2:13" ht="56">
      <c r="B6" s="25" t="s">
        <v>49</v>
      </c>
      <c r="C6" s="34" t="s">
        <v>50</v>
      </c>
      <c r="D6" s="34" t="s">
        <v>51</v>
      </c>
      <c r="E6" s="31" t="s">
        <v>52</v>
      </c>
      <c r="F6" s="25" t="s">
        <v>53</v>
      </c>
      <c r="G6" s="26" t="s">
        <v>273</v>
      </c>
      <c r="H6" s="26"/>
      <c r="I6" s="26"/>
      <c r="J6" s="25"/>
      <c r="K6" s="27" t="str">
        <f t="shared" ref="K6:K7" si="1">IF(ISBLANK(G6),"Yes","No")</f>
        <v>No</v>
      </c>
      <c r="L6" s="28"/>
      <c r="M6" s="28"/>
    </row>
    <row r="7" spans="2:13" ht="110.25" customHeight="1">
      <c r="B7" s="25" t="s">
        <v>54</v>
      </c>
      <c r="C7" s="26" t="s">
        <v>55</v>
      </c>
      <c r="D7" s="26" t="s">
        <v>50</v>
      </c>
      <c r="E7" s="31" t="s">
        <v>56</v>
      </c>
      <c r="F7" s="25" t="s">
        <v>57</v>
      </c>
      <c r="G7" s="26" t="s">
        <v>273</v>
      </c>
      <c r="H7" s="26"/>
      <c r="I7" s="26"/>
      <c r="J7" s="25"/>
      <c r="K7" s="27" t="str">
        <f t="shared" si="1"/>
        <v>No</v>
      </c>
      <c r="L7" s="28"/>
      <c r="M7" s="28"/>
    </row>
    <row r="8" spans="2:13" ht="42">
      <c r="B8" s="70" t="s">
        <v>58</v>
      </c>
      <c r="C8" s="72" t="s">
        <v>50</v>
      </c>
      <c r="D8" s="72" t="s">
        <v>51</v>
      </c>
      <c r="E8" s="71" t="s">
        <v>59</v>
      </c>
      <c r="F8" s="25" t="s">
        <v>60</v>
      </c>
      <c r="G8" s="26" t="s">
        <v>273</v>
      </c>
      <c r="H8" s="26"/>
      <c r="I8" s="26"/>
      <c r="J8" s="25"/>
      <c r="K8" s="27" t="str">
        <f t="shared" ref="K8:K18" si="2">IF(ISBLANK(G8),"Yes","No")</f>
        <v>No</v>
      </c>
      <c r="L8" s="28"/>
      <c r="M8" s="28"/>
    </row>
    <row r="9" spans="2:13" ht="48.75" customHeight="1">
      <c r="B9" s="70"/>
      <c r="C9" s="74"/>
      <c r="D9" s="74"/>
      <c r="E9" s="71"/>
      <c r="F9" s="25" t="s">
        <v>61</v>
      </c>
      <c r="G9" s="26"/>
      <c r="H9" s="26" t="s">
        <v>273</v>
      </c>
      <c r="I9" s="26"/>
      <c r="J9" s="25"/>
      <c r="K9" s="27" t="str">
        <f>IF(ISBLANK(H9),"Yes","No")</f>
        <v>No</v>
      </c>
      <c r="L9" s="28"/>
      <c r="M9" s="28"/>
    </row>
    <row r="10" spans="2:13" ht="90" customHeight="1">
      <c r="B10" s="25" t="s">
        <v>62</v>
      </c>
      <c r="C10" s="26" t="s">
        <v>50</v>
      </c>
      <c r="D10" s="26" t="s">
        <v>51</v>
      </c>
      <c r="E10" s="31" t="s">
        <v>63</v>
      </c>
      <c r="F10" s="25" t="s">
        <v>64</v>
      </c>
      <c r="G10" s="26" t="s">
        <v>273</v>
      </c>
      <c r="H10" s="26"/>
      <c r="I10" s="26"/>
      <c r="J10" s="25"/>
      <c r="K10" s="27" t="str">
        <f t="shared" si="2"/>
        <v>No</v>
      </c>
      <c r="L10" s="28"/>
      <c r="M10" s="28"/>
    </row>
    <row r="11" spans="2:13" ht="140">
      <c r="B11" s="25" t="s">
        <v>65</v>
      </c>
      <c r="C11" s="26" t="s">
        <v>50</v>
      </c>
      <c r="D11" s="26" t="s">
        <v>51</v>
      </c>
      <c r="E11" s="31" t="s">
        <v>66</v>
      </c>
      <c r="F11" s="25" t="s">
        <v>67</v>
      </c>
      <c r="G11" s="26" t="s">
        <v>273</v>
      </c>
      <c r="H11" s="26"/>
      <c r="I11" s="26"/>
      <c r="J11" s="25"/>
      <c r="K11" s="27" t="str">
        <f t="shared" si="2"/>
        <v>No</v>
      </c>
      <c r="L11" s="28"/>
      <c r="M11" s="28"/>
    </row>
    <row r="12" spans="2:13" ht="98">
      <c r="B12" s="25" t="s">
        <v>68</v>
      </c>
      <c r="C12" s="26" t="s">
        <v>50</v>
      </c>
      <c r="D12" s="26" t="s">
        <v>51</v>
      </c>
      <c r="E12" s="31" t="s">
        <v>69</v>
      </c>
      <c r="F12" s="25" t="s">
        <v>70</v>
      </c>
      <c r="G12" s="26" t="s">
        <v>273</v>
      </c>
      <c r="H12" s="26"/>
      <c r="I12" s="26"/>
      <c r="J12" s="25"/>
      <c r="K12" s="27" t="str">
        <f t="shared" si="2"/>
        <v>No</v>
      </c>
      <c r="L12" s="28"/>
      <c r="M12" s="28"/>
    </row>
    <row r="13" spans="2:13" ht="84">
      <c r="B13" s="25" t="s">
        <v>71</v>
      </c>
      <c r="C13" s="26" t="s">
        <v>46</v>
      </c>
      <c r="D13" s="26" t="s">
        <v>46</v>
      </c>
      <c r="E13" s="31" t="s">
        <v>72</v>
      </c>
      <c r="F13" s="25" t="s">
        <v>73</v>
      </c>
      <c r="G13" s="26" t="s">
        <v>273</v>
      </c>
      <c r="H13" s="26"/>
      <c r="I13" s="26"/>
      <c r="J13" s="25"/>
      <c r="K13" s="27" t="str">
        <f t="shared" si="2"/>
        <v>No</v>
      </c>
      <c r="L13" s="28"/>
      <c r="M13" s="28"/>
    </row>
    <row r="14" spans="2:13" ht="224">
      <c r="B14" s="25" t="s">
        <v>74</v>
      </c>
      <c r="C14" s="26" t="s">
        <v>75</v>
      </c>
      <c r="D14" s="26" t="s">
        <v>75</v>
      </c>
      <c r="E14" s="31" t="s">
        <v>76</v>
      </c>
      <c r="F14" s="25" t="s">
        <v>77</v>
      </c>
      <c r="G14" s="26" t="s">
        <v>273</v>
      </c>
      <c r="H14" s="26"/>
      <c r="I14" s="26"/>
      <c r="J14" s="25"/>
      <c r="K14" s="27" t="str">
        <f t="shared" si="2"/>
        <v>No</v>
      </c>
      <c r="L14" s="28"/>
      <c r="M14" s="28"/>
    </row>
    <row r="15" spans="2:13" ht="140">
      <c r="B15" s="25" t="s">
        <v>78</v>
      </c>
      <c r="C15" s="26" t="s">
        <v>79</v>
      </c>
      <c r="D15" s="26" t="s">
        <v>80</v>
      </c>
      <c r="E15" s="31" t="s">
        <v>81</v>
      </c>
      <c r="F15" s="25" t="s">
        <v>82</v>
      </c>
      <c r="G15" s="26" t="s">
        <v>273</v>
      </c>
      <c r="H15" s="26"/>
      <c r="I15" s="26"/>
      <c r="J15" s="25"/>
      <c r="K15" s="27" t="str">
        <f t="shared" si="2"/>
        <v>No</v>
      </c>
      <c r="L15" s="28"/>
      <c r="M15" s="28"/>
    </row>
    <row r="16" spans="2:13" ht="196">
      <c r="B16" s="25" t="s">
        <v>83</v>
      </c>
      <c r="C16" s="26" t="s">
        <v>84</v>
      </c>
      <c r="D16" s="26" t="s">
        <v>84</v>
      </c>
      <c r="E16" s="31" t="s">
        <v>85</v>
      </c>
      <c r="F16" s="25" t="s">
        <v>86</v>
      </c>
      <c r="G16" s="26" t="s">
        <v>273</v>
      </c>
      <c r="H16" s="26"/>
      <c r="I16" s="26"/>
      <c r="J16" s="25"/>
      <c r="K16" s="27" t="str">
        <f t="shared" si="2"/>
        <v>No</v>
      </c>
      <c r="L16" s="28"/>
      <c r="M16" s="28"/>
    </row>
    <row r="17" spans="2:13" ht="126">
      <c r="B17" s="25" t="s">
        <v>87</v>
      </c>
      <c r="C17" s="26" t="s">
        <v>88</v>
      </c>
      <c r="D17" s="26" t="s">
        <v>88</v>
      </c>
      <c r="E17" s="31" t="s">
        <v>89</v>
      </c>
      <c r="F17" s="25" t="s">
        <v>90</v>
      </c>
      <c r="G17" s="26" t="s">
        <v>273</v>
      </c>
      <c r="H17" s="26"/>
      <c r="I17" s="26"/>
      <c r="J17" s="25"/>
      <c r="K17" s="27" t="str">
        <f t="shared" si="2"/>
        <v>No</v>
      </c>
      <c r="L17" s="28"/>
      <c r="M17" s="28"/>
    </row>
    <row r="18" spans="2:13" ht="227.25" customHeight="1">
      <c r="B18" s="25" t="s">
        <v>91</v>
      </c>
      <c r="C18" s="26" t="s">
        <v>92</v>
      </c>
      <c r="D18" s="26" t="s">
        <v>92</v>
      </c>
      <c r="E18" s="31" t="s">
        <v>93</v>
      </c>
      <c r="F18" s="25" t="s">
        <v>94</v>
      </c>
      <c r="G18" s="26" t="s">
        <v>273</v>
      </c>
      <c r="H18" s="26"/>
      <c r="I18" s="26"/>
      <c r="J18" s="25"/>
      <c r="K18" s="27" t="str">
        <f t="shared" si="2"/>
        <v>No</v>
      </c>
      <c r="L18" s="28"/>
      <c r="M18" s="28"/>
    </row>
    <row r="19" spans="2:13" ht="16">
      <c r="B19" s="40" t="s">
        <v>95</v>
      </c>
      <c r="C19" s="38"/>
      <c r="D19" s="38"/>
      <c r="E19" s="53"/>
      <c r="F19" s="29"/>
      <c r="G19" s="30">
        <f>COUNTA(G20:G31)</f>
        <v>8</v>
      </c>
      <c r="H19" s="30">
        <f t="shared" ref="H19:I19" si="3">COUNTA(H20:H31)</f>
        <v>4</v>
      </c>
      <c r="I19" s="30">
        <f t="shared" si="3"/>
        <v>0</v>
      </c>
      <c r="J19" s="29"/>
      <c r="K19" s="29"/>
      <c r="L19" s="29"/>
      <c r="M19" s="29"/>
    </row>
    <row r="20" spans="2:13" ht="126">
      <c r="B20" s="70" t="s">
        <v>96</v>
      </c>
      <c r="C20" s="72" t="s">
        <v>50</v>
      </c>
      <c r="D20" s="72" t="s">
        <v>50</v>
      </c>
      <c r="E20" s="71" t="s">
        <v>97</v>
      </c>
      <c r="F20" s="25" t="s">
        <v>98</v>
      </c>
      <c r="G20" s="26"/>
      <c r="H20" s="26" t="s">
        <v>273</v>
      </c>
      <c r="I20" s="26"/>
      <c r="J20" s="25" t="s">
        <v>276</v>
      </c>
      <c r="K20" s="27" t="str">
        <f t="shared" ref="K20:K31" si="4">IF(ISBLANK(G20),"Yes","")</f>
        <v>Yes</v>
      </c>
      <c r="L20" s="28"/>
      <c r="M20" s="28"/>
    </row>
    <row r="21" spans="2:13" ht="73.5" customHeight="1">
      <c r="B21" s="70"/>
      <c r="C21" s="74"/>
      <c r="D21" s="74"/>
      <c r="E21" s="71"/>
      <c r="F21" s="25" t="s">
        <v>99</v>
      </c>
      <c r="G21" s="26" t="s">
        <v>273</v>
      </c>
      <c r="H21" s="26"/>
      <c r="I21" s="26"/>
      <c r="J21" s="25"/>
      <c r="K21" s="27" t="str">
        <f t="shared" si="4"/>
        <v/>
      </c>
      <c r="L21" s="28"/>
      <c r="M21" s="28"/>
    </row>
    <row r="22" spans="2:13" ht="155">
      <c r="B22" s="25" t="s">
        <v>100</v>
      </c>
      <c r="C22" s="26" t="s">
        <v>50</v>
      </c>
      <c r="D22" s="26" t="s">
        <v>50</v>
      </c>
      <c r="E22" s="31" t="s">
        <v>101</v>
      </c>
      <c r="F22" s="25" t="s">
        <v>102</v>
      </c>
      <c r="G22" s="26" t="s">
        <v>273</v>
      </c>
      <c r="H22" s="26"/>
      <c r="I22" s="26"/>
      <c r="J22" s="25"/>
      <c r="K22" s="27" t="str">
        <f t="shared" si="4"/>
        <v/>
      </c>
      <c r="L22" s="28"/>
      <c r="M22" s="28"/>
    </row>
    <row r="23" spans="2:13" ht="196">
      <c r="B23" s="70" t="s">
        <v>103</v>
      </c>
      <c r="C23" s="72" t="s">
        <v>50</v>
      </c>
      <c r="D23" s="72" t="s">
        <v>50</v>
      </c>
      <c r="E23" s="71" t="s">
        <v>104</v>
      </c>
      <c r="F23" s="25" t="s">
        <v>105</v>
      </c>
      <c r="G23" s="26" t="s">
        <v>273</v>
      </c>
      <c r="H23" s="26"/>
      <c r="I23" s="26"/>
      <c r="J23" s="25"/>
      <c r="K23" s="27" t="str">
        <f t="shared" si="4"/>
        <v/>
      </c>
      <c r="L23" s="28"/>
      <c r="M23" s="28"/>
    </row>
    <row r="24" spans="2:13" ht="126">
      <c r="B24" s="70"/>
      <c r="C24" s="74"/>
      <c r="D24" s="74"/>
      <c r="E24" s="71"/>
      <c r="F24" s="25" t="s">
        <v>106</v>
      </c>
      <c r="G24" s="26"/>
      <c r="H24" s="26" t="s">
        <v>273</v>
      </c>
      <c r="I24" s="26"/>
      <c r="J24" s="25" t="s">
        <v>278</v>
      </c>
      <c r="K24" s="27" t="str">
        <f t="shared" si="4"/>
        <v>Yes</v>
      </c>
      <c r="L24" s="28"/>
      <c r="M24" s="28"/>
    </row>
    <row r="25" spans="2:13" ht="29">
      <c r="B25" s="70" t="s">
        <v>107</v>
      </c>
      <c r="C25" s="72" t="s">
        <v>50</v>
      </c>
      <c r="D25" s="72" t="s">
        <v>50</v>
      </c>
      <c r="E25" s="71" t="s">
        <v>108</v>
      </c>
      <c r="F25" s="25" t="s">
        <v>109</v>
      </c>
      <c r="G25" s="26" t="s">
        <v>273</v>
      </c>
      <c r="H25" s="26"/>
      <c r="I25" s="26"/>
      <c r="J25" s="25"/>
      <c r="K25" s="27" t="str">
        <f t="shared" si="4"/>
        <v/>
      </c>
      <c r="L25" s="28"/>
      <c r="M25" s="28"/>
    </row>
    <row r="26" spans="2:13" ht="70">
      <c r="B26" s="70"/>
      <c r="C26" s="73"/>
      <c r="D26" s="73"/>
      <c r="E26" s="71"/>
      <c r="F26" s="25" t="s">
        <v>110</v>
      </c>
      <c r="G26" s="26"/>
      <c r="H26" s="26" t="s">
        <v>273</v>
      </c>
      <c r="I26" s="26"/>
      <c r="J26" s="25" t="s">
        <v>277</v>
      </c>
      <c r="K26" s="27" t="str">
        <f t="shared" si="4"/>
        <v>Yes</v>
      </c>
      <c r="L26" s="28"/>
      <c r="M26" s="28"/>
    </row>
    <row r="27" spans="2:13" ht="93" customHeight="1">
      <c r="B27" s="70"/>
      <c r="C27" s="74"/>
      <c r="D27" s="74"/>
      <c r="E27" s="71"/>
      <c r="F27" s="25" t="s">
        <v>111</v>
      </c>
      <c r="G27" s="26" t="s">
        <v>273</v>
      </c>
      <c r="H27" s="26"/>
      <c r="I27" s="26"/>
      <c r="J27" s="25"/>
      <c r="K27" s="27" t="str">
        <f t="shared" si="4"/>
        <v/>
      </c>
      <c r="L27" s="28"/>
      <c r="M27" s="28"/>
    </row>
    <row r="28" spans="2:13" ht="56">
      <c r="B28" s="25" t="s">
        <v>112</v>
      </c>
      <c r="C28" s="26" t="s">
        <v>50</v>
      </c>
      <c r="D28" s="26" t="s">
        <v>50</v>
      </c>
      <c r="E28" s="31" t="s">
        <v>113</v>
      </c>
      <c r="F28" s="25" t="s">
        <v>114</v>
      </c>
      <c r="G28" s="26" t="s">
        <v>273</v>
      </c>
      <c r="H28" s="26"/>
      <c r="I28" s="26"/>
      <c r="J28" s="25"/>
      <c r="K28" s="27" t="str">
        <f t="shared" si="4"/>
        <v/>
      </c>
      <c r="L28" s="28"/>
      <c r="M28" s="28"/>
    </row>
    <row r="29" spans="2:13" ht="88.5" customHeight="1">
      <c r="B29" s="70" t="s">
        <v>115</v>
      </c>
      <c r="C29" s="72" t="s">
        <v>50</v>
      </c>
      <c r="D29" s="72" t="s">
        <v>50</v>
      </c>
      <c r="E29" s="75" t="s">
        <v>116</v>
      </c>
      <c r="F29" s="25" t="s">
        <v>117</v>
      </c>
      <c r="G29" s="26"/>
      <c r="H29" s="26" t="s">
        <v>273</v>
      </c>
      <c r="I29" s="26"/>
      <c r="J29" s="63" t="s">
        <v>280</v>
      </c>
      <c r="K29" s="27" t="str">
        <f t="shared" si="4"/>
        <v>Yes</v>
      </c>
      <c r="L29" s="28"/>
      <c r="M29" s="28"/>
    </row>
    <row r="30" spans="2:13" ht="36.75" customHeight="1">
      <c r="B30" s="70"/>
      <c r="C30" s="74"/>
      <c r="D30" s="74"/>
      <c r="E30" s="76"/>
      <c r="F30" s="25" t="s">
        <v>118</v>
      </c>
      <c r="G30" s="26" t="s">
        <v>273</v>
      </c>
      <c r="H30" s="26"/>
      <c r="I30" s="26"/>
      <c r="J30" s="25"/>
      <c r="K30" s="27" t="str">
        <f t="shared" si="4"/>
        <v/>
      </c>
      <c r="L30" s="28"/>
      <c r="M30" s="28"/>
    </row>
    <row r="31" spans="2:13" ht="168">
      <c r="B31" s="25" t="s">
        <v>119</v>
      </c>
      <c r="C31" s="26" t="s">
        <v>50</v>
      </c>
      <c r="D31" s="26" t="s">
        <v>50</v>
      </c>
      <c r="E31" s="31" t="s">
        <v>120</v>
      </c>
      <c r="F31" s="25" t="s">
        <v>121</v>
      </c>
      <c r="G31" s="26" t="s">
        <v>273</v>
      </c>
      <c r="H31" s="26"/>
      <c r="I31" s="26"/>
      <c r="J31" s="25"/>
      <c r="K31" s="27" t="str">
        <f t="shared" si="4"/>
        <v/>
      </c>
      <c r="L31" s="28"/>
      <c r="M31" s="28"/>
    </row>
    <row r="32" spans="2:13" ht="16">
      <c r="B32" s="41" t="s">
        <v>122</v>
      </c>
      <c r="C32" s="38"/>
      <c r="D32" s="38"/>
      <c r="E32" s="53"/>
      <c r="F32" s="29"/>
      <c r="G32" s="30">
        <f>COUNTA(G33:G43)</f>
        <v>11</v>
      </c>
      <c r="H32" s="30">
        <f t="shared" ref="H32:I32" si="5">COUNTA(H33:H43)</f>
        <v>0</v>
      </c>
      <c r="I32" s="30">
        <f t="shared" si="5"/>
        <v>0</v>
      </c>
      <c r="J32" s="29"/>
      <c r="K32" s="29"/>
      <c r="L32" s="29"/>
      <c r="M32" s="29"/>
    </row>
    <row r="33" spans="2:13" ht="42">
      <c r="B33" s="70" t="s">
        <v>123</v>
      </c>
      <c r="C33" s="72" t="s">
        <v>124</v>
      </c>
      <c r="D33" s="72" t="s">
        <v>124</v>
      </c>
      <c r="E33" s="71" t="s">
        <v>125</v>
      </c>
      <c r="F33" s="25" t="s">
        <v>126</v>
      </c>
      <c r="G33" s="26" t="s">
        <v>273</v>
      </c>
      <c r="H33" s="26"/>
      <c r="I33" s="26"/>
      <c r="J33" s="25"/>
      <c r="K33" s="27" t="str">
        <f>IF(ISBLANK(G33),"Yes","No")</f>
        <v>No</v>
      </c>
      <c r="L33" s="28"/>
      <c r="M33" s="28"/>
    </row>
    <row r="34" spans="2:13" ht="28">
      <c r="B34" s="70"/>
      <c r="C34" s="74"/>
      <c r="D34" s="74"/>
      <c r="E34" s="71"/>
      <c r="F34" s="25" t="s">
        <v>127</v>
      </c>
      <c r="G34" s="26" t="s">
        <v>273</v>
      </c>
      <c r="H34" s="26"/>
      <c r="I34" s="26"/>
      <c r="J34" s="25"/>
      <c r="K34" s="27" t="str">
        <f>IF(ISBLANK(G34),"Yes","No")</f>
        <v>No</v>
      </c>
      <c r="L34" s="28"/>
      <c r="M34" s="28"/>
    </row>
    <row r="35" spans="2:13" ht="70">
      <c r="B35" s="25" t="s">
        <v>128</v>
      </c>
      <c r="C35" s="26" t="s">
        <v>50</v>
      </c>
      <c r="D35" s="26" t="s">
        <v>50</v>
      </c>
      <c r="E35" s="31" t="s">
        <v>129</v>
      </c>
      <c r="F35" s="25" t="s">
        <v>130</v>
      </c>
      <c r="G35" s="26" t="s">
        <v>273</v>
      </c>
      <c r="H35" s="26"/>
      <c r="I35" s="26"/>
      <c r="J35" s="25"/>
      <c r="K35" s="27" t="str">
        <f t="shared" ref="K35:K68" si="6">IF(ISBLANK(G35),"Yes","No")</f>
        <v>No</v>
      </c>
      <c r="L35" s="28"/>
      <c r="M35" s="28"/>
    </row>
    <row r="36" spans="2:13" ht="42">
      <c r="B36" s="25" t="s">
        <v>131</v>
      </c>
      <c r="C36" s="26" t="s">
        <v>50</v>
      </c>
      <c r="D36" s="26" t="s">
        <v>50</v>
      </c>
      <c r="E36" s="31" t="s">
        <v>132</v>
      </c>
      <c r="F36" s="25" t="s">
        <v>133</v>
      </c>
      <c r="G36" s="26" t="s">
        <v>273</v>
      </c>
      <c r="H36" s="26"/>
      <c r="I36" s="26"/>
      <c r="J36" s="25"/>
      <c r="K36" s="27" t="str">
        <f t="shared" si="6"/>
        <v>No</v>
      </c>
      <c r="L36" s="28"/>
      <c r="M36" s="28"/>
    </row>
    <row r="37" spans="2:13" ht="42">
      <c r="B37" s="71" t="s">
        <v>134</v>
      </c>
      <c r="C37" s="72" t="s">
        <v>50</v>
      </c>
      <c r="D37" s="72" t="s">
        <v>50</v>
      </c>
      <c r="E37" s="71" t="s">
        <v>135</v>
      </c>
      <c r="F37" s="25" t="s">
        <v>136</v>
      </c>
      <c r="G37" s="26" t="s">
        <v>273</v>
      </c>
      <c r="H37" s="26"/>
      <c r="I37" s="26"/>
      <c r="J37" s="25"/>
      <c r="K37" s="27" t="str">
        <f t="shared" si="6"/>
        <v>No</v>
      </c>
      <c r="L37" s="28"/>
      <c r="M37" s="28"/>
    </row>
    <row r="38" spans="2:13" ht="58.5" customHeight="1">
      <c r="B38" s="71"/>
      <c r="C38" s="74"/>
      <c r="D38" s="74"/>
      <c r="E38" s="71"/>
      <c r="F38" s="25" t="s">
        <v>137</v>
      </c>
      <c r="G38" s="26" t="s">
        <v>273</v>
      </c>
      <c r="H38" s="26"/>
      <c r="I38" s="26"/>
      <c r="J38" s="25"/>
      <c r="K38" s="27" t="str">
        <f t="shared" si="6"/>
        <v>No</v>
      </c>
      <c r="L38" s="28"/>
      <c r="M38" s="28"/>
    </row>
    <row r="39" spans="2:13" ht="43">
      <c r="B39" s="25" t="s">
        <v>138</v>
      </c>
      <c r="C39" s="26" t="s">
        <v>50</v>
      </c>
      <c r="D39" s="26" t="s">
        <v>50</v>
      </c>
      <c r="E39" s="31" t="s">
        <v>139</v>
      </c>
      <c r="F39" s="25" t="s">
        <v>140</v>
      </c>
      <c r="G39" s="26" t="s">
        <v>273</v>
      </c>
      <c r="H39" s="26"/>
      <c r="I39" s="26"/>
      <c r="J39" s="25"/>
      <c r="K39" s="27" t="str">
        <f t="shared" si="6"/>
        <v>No</v>
      </c>
      <c r="L39" s="28"/>
      <c r="M39" s="28"/>
    </row>
    <row r="40" spans="2:13" ht="154">
      <c r="B40" s="25" t="s">
        <v>141</v>
      </c>
      <c r="C40" s="26" t="s">
        <v>50</v>
      </c>
      <c r="D40" s="26" t="s">
        <v>50</v>
      </c>
      <c r="E40" s="31" t="s">
        <v>142</v>
      </c>
      <c r="F40" s="25" t="s">
        <v>143</v>
      </c>
      <c r="G40" s="26" t="s">
        <v>273</v>
      </c>
      <c r="H40" s="26"/>
      <c r="I40" s="26"/>
      <c r="J40" s="25"/>
      <c r="K40" s="27" t="str">
        <f t="shared" si="6"/>
        <v>No</v>
      </c>
      <c r="L40" s="28"/>
      <c r="M40" s="28"/>
    </row>
    <row r="41" spans="2:13" ht="182">
      <c r="B41" s="25" t="s">
        <v>144</v>
      </c>
      <c r="C41" s="26" t="s">
        <v>50</v>
      </c>
      <c r="D41" s="26" t="s">
        <v>50</v>
      </c>
      <c r="E41" s="31" t="s">
        <v>145</v>
      </c>
      <c r="F41" s="25" t="s">
        <v>146</v>
      </c>
      <c r="G41" s="26" t="s">
        <v>273</v>
      </c>
      <c r="H41" s="26"/>
      <c r="I41" s="26"/>
      <c r="J41" s="25"/>
      <c r="K41" s="27" t="str">
        <f t="shared" si="6"/>
        <v>No</v>
      </c>
      <c r="L41" s="28"/>
      <c r="M41" s="28"/>
    </row>
    <row r="42" spans="2:13" ht="210">
      <c r="B42" s="25" t="s">
        <v>147</v>
      </c>
      <c r="C42" s="26" t="s">
        <v>50</v>
      </c>
      <c r="D42" s="26" t="s">
        <v>50</v>
      </c>
      <c r="E42" s="31" t="s">
        <v>148</v>
      </c>
      <c r="F42" s="25" t="s">
        <v>149</v>
      </c>
      <c r="G42" s="26" t="s">
        <v>273</v>
      </c>
      <c r="H42" s="26"/>
      <c r="I42" s="26"/>
      <c r="J42" s="25"/>
      <c r="K42" s="27" t="str">
        <f t="shared" si="6"/>
        <v>No</v>
      </c>
      <c r="L42" s="28"/>
      <c r="M42" s="28"/>
    </row>
    <row r="43" spans="2:13" ht="154">
      <c r="B43" s="25" t="s">
        <v>150</v>
      </c>
      <c r="C43" s="26" t="s">
        <v>50</v>
      </c>
      <c r="D43" s="26" t="s">
        <v>50</v>
      </c>
      <c r="E43" s="31" t="s">
        <v>151</v>
      </c>
      <c r="F43" s="25" t="s">
        <v>152</v>
      </c>
      <c r="G43" s="26" t="s">
        <v>273</v>
      </c>
      <c r="H43" s="26"/>
      <c r="I43" s="26"/>
      <c r="J43" s="25"/>
      <c r="K43" s="27" t="str">
        <f t="shared" si="6"/>
        <v>No</v>
      </c>
      <c r="L43" s="28"/>
      <c r="M43" s="28"/>
    </row>
    <row r="44" spans="2:13" ht="16">
      <c r="B44" s="40" t="s">
        <v>153</v>
      </c>
      <c r="C44" s="38"/>
      <c r="D44" s="38"/>
      <c r="E44" s="53"/>
      <c r="F44" s="29"/>
      <c r="G44" s="30">
        <f>COUNTA(G45:G49)</f>
        <v>4</v>
      </c>
      <c r="H44" s="30">
        <f t="shared" ref="H44:I44" si="7">COUNTA(H45:H49)</f>
        <v>1</v>
      </c>
      <c r="I44" s="30">
        <f t="shared" si="7"/>
        <v>0</v>
      </c>
      <c r="J44" s="29"/>
      <c r="K44" s="29"/>
      <c r="L44" s="29"/>
      <c r="M44" s="29"/>
    </row>
    <row r="45" spans="2:13" ht="70">
      <c r="B45" s="25" t="s">
        <v>154</v>
      </c>
      <c r="C45" s="26" t="s">
        <v>50</v>
      </c>
      <c r="D45" s="26" t="s">
        <v>50</v>
      </c>
      <c r="E45" s="31" t="s">
        <v>155</v>
      </c>
      <c r="F45" s="25" t="s">
        <v>156</v>
      </c>
      <c r="G45" s="26" t="s">
        <v>273</v>
      </c>
      <c r="H45" s="26"/>
      <c r="I45" s="26"/>
      <c r="J45" s="25"/>
      <c r="K45" s="27" t="str">
        <f t="shared" si="6"/>
        <v>No</v>
      </c>
      <c r="L45" s="28"/>
      <c r="M45" s="28"/>
    </row>
    <row r="46" spans="2:13" ht="28">
      <c r="B46" s="70" t="s">
        <v>157</v>
      </c>
      <c r="C46" s="72" t="s">
        <v>50</v>
      </c>
      <c r="D46" s="72" t="s">
        <v>50</v>
      </c>
      <c r="E46" s="71" t="s">
        <v>158</v>
      </c>
      <c r="F46" s="25" t="s">
        <v>159</v>
      </c>
      <c r="G46" s="26" t="s">
        <v>273</v>
      </c>
      <c r="H46" s="26"/>
      <c r="I46" s="26"/>
      <c r="J46" s="25"/>
      <c r="K46" s="27" t="str">
        <f t="shared" si="6"/>
        <v>No</v>
      </c>
      <c r="L46" s="28"/>
      <c r="M46" s="28"/>
    </row>
    <row r="47" spans="2:13" ht="28">
      <c r="B47" s="70"/>
      <c r="C47" s="73"/>
      <c r="D47" s="73"/>
      <c r="E47" s="71"/>
      <c r="F47" s="25" t="s">
        <v>160</v>
      </c>
      <c r="G47" s="26" t="s">
        <v>273</v>
      </c>
      <c r="H47" s="26"/>
      <c r="I47" s="26"/>
      <c r="J47" s="25"/>
      <c r="K47" s="27" t="str">
        <f t="shared" si="6"/>
        <v>No</v>
      </c>
      <c r="L47" s="28"/>
      <c r="M47" s="28"/>
    </row>
    <row r="48" spans="2:13" ht="41.25" customHeight="1">
      <c r="B48" s="70"/>
      <c r="C48" s="74"/>
      <c r="D48" s="74"/>
      <c r="E48" s="71"/>
      <c r="F48" s="25" t="s">
        <v>161</v>
      </c>
      <c r="G48" s="26"/>
      <c r="H48" s="26" t="s">
        <v>273</v>
      </c>
      <c r="I48" s="26"/>
      <c r="J48" s="64" t="s">
        <v>279</v>
      </c>
      <c r="K48" s="27" t="str">
        <f t="shared" si="6"/>
        <v>Yes</v>
      </c>
      <c r="L48" s="28"/>
      <c r="M48" s="28"/>
    </row>
    <row r="49" spans="2:13" ht="56">
      <c r="B49" s="25" t="s">
        <v>162</v>
      </c>
      <c r="C49" s="26" t="s">
        <v>50</v>
      </c>
      <c r="D49" s="26" t="s">
        <v>50</v>
      </c>
      <c r="E49" s="31" t="s">
        <v>163</v>
      </c>
      <c r="F49" s="25" t="s">
        <v>164</v>
      </c>
      <c r="G49" s="26" t="s">
        <v>273</v>
      </c>
      <c r="H49" s="26"/>
      <c r="I49" s="26"/>
      <c r="J49" s="25"/>
      <c r="K49" s="27" t="str">
        <f t="shared" si="6"/>
        <v>No</v>
      </c>
      <c r="L49" s="28"/>
      <c r="M49" s="28"/>
    </row>
    <row r="50" spans="2:13" ht="16">
      <c r="B50" s="40" t="s">
        <v>165</v>
      </c>
      <c r="C50" s="38"/>
      <c r="D50" s="38"/>
      <c r="E50" s="53"/>
      <c r="F50" s="29"/>
      <c r="G50" s="30">
        <f>COUNTA(G51:G55)</f>
        <v>5</v>
      </c>
      <c r="H50" s="30">
        <f t="shared" ref="H50" si="8">COUNTA(H51:H55)</f>
        <v>0</v>
      </c>
      <c r="I50" s="30">
        <f t="shared" ref="I50" si="9">COUNTA(I51:I55)</f>
        <v>0</v>
      </c>
      <c r="J50" s="29"/>
      <c r="K50" s="29"/>
      <c r="L50" s="29"/>
      <c r="M50" s="29"/>
    </row>
    <row r="51" spans="2:13" ht="126">
      <c r="B51" s="25" t="s">
        <v>166</v>
      </c>
      <c r="C51" s="26" t="s">
        <v>50</v>
      </c>
      <c r="D51" s="26" t="s">
        <v>50</v>
      </c>
      <c r="E51" s="31" t="s">
        <v>167</v>
      </c>
      <c r="F51" s="25" t="s">
        <v>168</v>
      </c>
      <c r="G51" s="26" t="s">
        <v>273</v>
      </c>
      <c r="H51" s="26"/>
      <c r="I51" s="26"/>
      <c r="J51" s="25"/>
      <c r="K51" s="27" t="str">
        <f t="shared" si="6"/>
        <v>No</v>
      </c>
      <c r="L51" s="28"/>
      <c r="M51" s="28"/>
    </row>
    <row r="52" spans="2:13" ht="70.5" customHeight="1">
      <c r="B52" s="70" t="s">
        <v>169</v>
      </c>
      <c r="C52" s="72" t="s">
        <v>50</v>
      </c>
      <c r="D52" s="72" t="s">
        <v>50</v>
      </c>
      <c r="E52" s="71" t="s">
        <v>170</v>
      </c>
      <c r="F52" s="25" t="s">
        <v>171</v>
      </c>
      <c r="G52" s="26" t="s">
        <v>273</v>
      </c>
      <c r="H52" s="26"/>
      <c r="I52" s="26"/>
      <c r="J52" s="25"/>
      <c r="K52" s="27" t="str">
        <f t="shared" si="6"/>
        <v>No</v>
      </c>
      <c r="L52" s="28"/>
      <c r="M52" s="28"/>
    </row>
    <row r="53" spans="2:13" ht="57.75" customHeight="1">
      <c r="B53" s="70"/>
      <c r="C53" s="73"/>
      <c r="D53" s="73"/>
      <c r="E53" s="71"/>
      <c r="F53" s="25" t="s">
        <v>172</v>
      </c>
      <c r="G53" s="26" t="s">
        <v>273</v>
      </c>
      <c r="H53" s="26"/>
      <c r="I53" s="26"/>
      <c r="J53" s="25"/>
      <c r="K53" s="27" t="str">
        <f t="shared" si="6"/>
        <v>No</v>
      </c>
      <c r="L53" s="28"/>
      <c r="M53" s="28"/>
    </row>
    <row r="54" spans="2:13" ht="140.25" customHeight="1">
      <c r="B54" s="70"/>
      <c r="C54" s="74"/>
      <c r="D54" s="74"/>
      <c r="E54" s="71"/>
      <c r="F54" s="25" t="s">
        <v>173</v>
      </c>
      <c r="G54" s="26" t="s">
        <v>273</v>
      </c>
      <c r="H54" s="26"/>
      <c r="I54" s="26"/>
      <c r="J54" s="25"/>
      <c r="K54" s="27" t="str">
        <f t="shared" si="6"/>
        <v>No</v>
      </c>
      <c r="L54" s="28"/>
      <c r="M54" s="28"/>
    </row>
    <row r="55" spans="2:13" ht="196">
      <c r="B55" s="25" t="s">
        <v>174</v>
      </c>
      <c r="C55" s="26" t="s">
        <v>50</v>
      </c>
      <c r="D55" s="26" t="s">
        <v>50</v>
      </c>
      <c r="E55" s="31" t="s">
        <v>175</v>
      </c>
      <c r="F55" s="25" t="s">
        <v>176</v>
      </c>
      <c r="G55" s="26" t="s">
        <v>273</v>
      </c>
      <c r="H55" s="26"/>
      <c r="I55" s="26"/>
      <c r="J55" s="25"/>
      <c r="K55" s="27" t="str">
        <f t="shared" si="6"/>
        <v>No</v>
      </c>
      <c r="L55" s="28"/>
      <c r="M55" s="28"/>
    </row>
    <row r="56" spans="2:13" ht="16">
      <c r="B56" s="40" t="s">
        <v>177</v>
      </c>
      <c r="C56" s="38"/>
      <c r="D56" s="38"/>
      <c r="E56" s="53"/>
      <c r="F56" s="29"/>
      <c r="G56" s="30">
        <f>COUNTA(G57:G59)</f>
        <v>3</v>
      </c>
      <c r="H56" s="30">
        <f t="shared" ref="H56" si="10">COUNTA(H57:H59)</f>
        <v>0</v>
      </c>
      <c r="I56" s="30">
        <f>COUNTA(I57:I59)</f>
        <v>0</v>
      </c>
      <c r="J56" s="29"/>
      <c r="K56" s="29"/>
      <c r="L56" s="29"/>
      <c r="M56" s="29"/>
    </row>
    <row r="57" spans="2:13" ht="42">
      <c r="B57" s="25" t="s">
        <v>178</v>
      </c>
      <c r="C57" s="26" t="s">
        <v>50</v>
      </c>
      <c r="D57" s="26" t="s">
        <v>50</v>
      </c>
      <c r="E57" s="31" t="s">
        <v>179</v>
      </c>
      <c r="F57" s="25" t="s">
        <v>180</v>
      </c>
      <c r="G57" s="26" t="s">
        <v>273</v>
      </c>
      <c r="H57" s="26"/>
      <c r="I57" s="26"/>
      <c r="J57" s="25"/>
      <c r="K57" s="27" t="str">
        <f t="shared" si="6"/>
        <v>No</v>
      </c>
      <c r="L57" s="28"/>
      <c r="M57" s="28"/>
    </row>
    <row r="58" spans="2:13" ht="112">
      <c r="B58" s="25" t="s">
        <v>181</v>
      </c>
      <c r="C58" s="26" t="s">
        <v>50</v>
      </c>
      <c r="D58" s="26" t="s">
        <v>50</v>
      </c>
      <c r="E58" s="31" t="s">
        <v>182</v>
      </c>
      <c r="F58" s="25" t="s">
        <v>183</v>
      </c>
      <c r="G58" s="26" t="s">
        <v>273</v>
      </c>
      <c r="H58" s="26"/>
      <c r="I58" s="26"/>
      <c r="J58" s="25"/>
      <c r="K58" s="27" t="str">
        <f t="shared" si="6"/>
        <v>No</v>
      </c>
      <c r="L58" s="28"/>
      <c r="M58" s="28"/>
    </row>
    <row r="59" spans="2:13" ht="28">
      <c r="B59" s="25" t="s">
        <v>184</v>
      </c>
      <c r="C59" s="26" t="s">
        <v>50</v>
      </c>
      <c r="D59" s="26" t="s">
        <v>50</v>
      </c>
      <c r="E59" s="31" t="s">
        <v>185</v>
      </c>
      <c r="F59" s="25" t="s">
        <v>186</v>
      </c>
      <c r="G59" s="26" t="s">
        <v>273</v>
      </c>
      <c r="H59" s="26"/>
      <c r="I59" s="26"/>
      <c r="J59" s="25"/>
      <c r="K59" s="27" t="str">
        <f t="shared" si="6"/>
        <v>No</v>
      </c>
      <c r="L59" s="28"/>
      <c r="M59" s="28"/>
    </row>
    <row r="60" spans="2:13" ht="16">
      <c r="B60" s="40" t="s">
        <v>187</v>
      </c>
      <c r="C60" s="38"/>
      <c r="D60" s="38"/>
      <c r="E60" s="53"/>
      <c r="F60" s="29"/>
      <c r="G60" s="30">
        <f>COUNTA(G61:G62)</f>
        <v>2</v>
      </c>
      <c r="H60" s="30">
        <f t="shared" ref="H60:I60" si="11">COUNTA(H61:H62)</f>
        <v>0</v>
      </c>
      <c r="I60" s="30">
        <f t="shared" si="11"/>
        <v>0</v>
      </c>
      <c r="J60" s="29"/>
      <c r="K60" s="29"/>
      <c r="L60" s="29"/>
      <c r="M60" s="29"/>
    </row>
    <row r="61" spans="2:13" ht="84">
      <c r="B61" s="25" t="s">
        <v>188</v>
      </c>
      <c r="C61" s="26" t="s">
        <v>55</v>
      </c>
      <c r="D61" s="26" t="s">
        <v>50</v>
      </c>
      <c r="E61" s="31" t="s">
        <v>189</v>
      </c>
      <c r="F61" s="25" t="s">
        <v>190</v>
      </c>
      <c r="G61" s="26" t="s">
        <v>273</v>
      </c>
      <c r="H61" s="26"/>
      <c r="I61" s="26"/>
      <c r="J61" s="25"/>
      <c r="K61" s="27" t="str">
        <f t="shared" si="6"/>
        <v>No</v>
      </c>
      <c r="L61" s="28"/>
      <c r="M61" s="28"/>
    </row>
    <row r="62" spans="2:13" ht="42">
      <c r="B62" s="25" t="s">
        <v>191</v>
      </c>
      <c r="C62" s="26" t="s">
        <v>55</v>
      </c>
      <c r="D62" s="26" t="s">
        <v>50</v>
      </c>
      <c r="E62" s="31" t="s">
        <v>192</v>
      </c>
      <c r="F62" s="25" t="s">
        <v>193</v>
      </c>
      <c r="G62" s="26" t="s">
        <v>273</v>
      </c>
      <c r="H62" s="26"/>
      <c r="I62" s="26"/>
      <c r="J62" s="25"/>
      <c r="K62" s="27" t="str">
        <f t="shared" si="6"/>
        <v>No</v>
      </c>
      <c r="L62" s="28"/>
      <c r="M62" s="28"/>
    </row>
    <row r="63" spans="2:13" ht="16">
      <c r="B63" s="40" t="s">
        <v>194</v>
      </c>
      <c r="C63" s="38"/>
      <c r="D63" s="38"/>
      <c r="E63" s="53"/>
      <c r="F63" s="29"/>
      <c r="G63" s="30">
        <f t="shared" ref="G63:H63" si="12">COUNTA(G64:G69)</f>
        <v>6</v>
      </c>
      <c r="H63" s="30">
        <f t="shared" si="12"/>
        <v>0</v>
      </c>
      <c r="I63" s="30">
        <f>COUNTA(I64:I69)</f>
        <v>0</v>
      </c>
      <c r="J63" s="29"/>
      <c r="K63" s="29"/>
      <c r="L63" s="29"/>
      <c r="M63" s="29"/>
    </row>
    <row r="64" spans="2:13" ht="84">
      <c r="B64" s="25" t="s">
        <v>195</v>
      </c>
      <c r="C64" s="26" t="s">
        <v>50</v>
      </c>
      <c r="D64" s="26" t="s">
        <v>50</v>
      </c>
      <c r="E64" s="54" t="s">
        <v>196</v>
      </c>
      <c r="F64" s="25" t="s">
        <v>197</v>
      </c>
      <c r="G64" s="26" t="s">
        <v>273</v>
      </c>
      <c r="H64" s="26"/>
      <c r="I64" s="26"/>
      <c r="J64" s="25"/>
      <c r="K64" s="27" t="str">
        <f t="shared" si="6"/>
        <v>No</v>
      </c>
      <c r="L64" s="28"/>
      <c r="M64" s="28"/>
    </row>
    <row r="65" spans="2:13" ht="70">
      <c r="B65" s="25" t="s">
        <v>198</v>
      </c>
      <c r="C65" s="26" t="s">
        <v>50</v>
      </c>
      <c r="D65" s="26" t="s">
        <v>50</v>
      </c>
      <c r="E65" s="31" t="s">
        <v>199</v>
      </c>
      <c r="F65" s="25" t="s">
        <v>200</v>
      </c>
      <c r="G65" s="26" t="s">
        <v>273</v>
      </c>
      <c r="H65" s="26"/>
      <c r="I65" s="26"/>
      <c r="J65" s="25"/>
      <c r="K65" s="27" t="str">
        <f t="shared" si="6"/>
        <v>No</v>
      </c>
      <c r="L65" s="28"/>
      <c r="M65" s="28"/>
    </row>
    <row r="66" spans="2:13" ht="70">
      <c r="B66" s="25" t="s">
        <v>201</v>
      </c>
      <c r="C66" s="26" t="s">
        <v>50</v>
      </c>
      <c r="D66" s="26" t="s">
        <v>50</v>
      </c>
      <c r="E66" s="31" t="s">
        <v>202</v>
      </c>
      <c r="F66" s="25" t="s">
        <v>203</v>
      </c>
      <c r="G66" s="26" t="s">
        <v>273</v>
      </c>
      <c r="H66" s="26"/>
      <c r="I66" s="26"/>
      <c r="J66" s="25"/>
      <c r="K66" s="27" t="str">
        <f t="shared" si="6"/>
        <v>No</v>
      </c>
      <c r="L66" s="28"/>
      <c r="M66" s="28"/>
    </row>
    <row r="67" spans="2:13" ht="84">
      <c r="B67" s="25" t="s">
        <v>204</v>
      </c>
      <c r="C67" s="26" t="s">
        <v>50</v>
      </c>
      <c r="D67" s="26" t="s">
        <v>50</v>
      </c>
      <c r="E67" s="31" t="s">
        <v>205</v>
      </c>
      <c r="F67" s="25" t="s">
        <v>206</v>
      </c>
      <c r="G67" s="26" t="s">
        <v>273</v>
      </c>
      <c r="H67" s="26"/>
      <c r="I67" s="26"/>
      <c r="J67" s="25"/>
      <c r="K67" s="27" t="str">
        <f t="shared" si="6"/>
        <v>No</v>
      </c>
      <c r="L67" s="28"/>
      <c r="M67" s="28"/>
    </row>
    <row r="68" spans="2:13" ht="98">
      <c r="B68" s="25" t="s">
        <v>207</v>
      </c>
      <c r="C68" s="26" t="s">
        <v>50</v>
      </c>
      <c r="D68" s="26" t="s">
        <v>50</v>
      </c>
      <c r="E68" s="31" t="s">
        <v>208</v>
      </c>
      <c r="F68" s="25" t="s">
        <v>209</v>
      </c>
      <c r="G68" s="26" t="s">
        <v>273</v>
      </c>
      <c r="H68" s="26"/>
      <c r="I68" s="26"/>
      <c r="J68" s="25"/>
      <c r="K68" s="27" t="str">
        <f t="shared" si="6"/>
        <v>No</v>
      </c>
      <c r="L68" s="28"/>
      <c r="M68" s="28"/>
    </row>
    <row r="69" spans="2:13" ht="28">
      <c r="B69" s="25" t="s">
        <v>210</v>
      </c>
      <c r="C69" s="26" t="s">
        <v>50</v>
      </c>
      <c r="D69" s="26" t="s">
        <v>50</v>
      </c>
      <c r="E69" s="31" t="s">
        <v>211</v>
      </c>
      <c r="F69" s="25" t="s">
        <v>212</v>
      </c>
      <c r="G69" s="26" t="s">
        <v>273</v>
      </c>
      <c r="H69" s="26"/>
      <c r="I69" s="26"/>
      <c r="J69" s="25"/>
      <c r="K69" s="27" t="str">
        <f t="shared" ref="K69" si="13">IF(ISBLANK(G69),"Yes","No")</f>
        <v>No</v>
      </c>
      <c r="L69" s="28"/>
      <c r="M69" s="28"/>
    </row>
    <row r="70" spans="2:13" s="3" customFormat="1">
      <c r="C70" s="39"/>
      <c r="D70" s="39"/>
      <c r="E70" s="55"/>
      <c r="F70" s="33"/>
    </row>
    <row r="71" spans="2:13" s="3" customFormat="1">
      <c r="C71" s="39"/>
      <c r="D71" s="39"/>
      <c r="E71" s="55"/>
      <c r="F71" s="33"/>
    </row>
    <row r="72" spans="2:13" s="3" customFormat="1">
      <c r="C72" s="39"/>
      <c r="D72" s="39"/>
      <c r="E72" s="55"/>
      <c r="F72" s="33"/>
    </row>
    <row r="73" spans="2:13" s="3" customFormat="1">
      <c r="C73" s="39"/>
      <c r="D73" s="39"/>
      <c r="E73" s="55"/>
      <c r="F73" s="33"/>
    </row>
    <row r="74" spans="2:13" s="3" customFormat="1">
      <c r="C74" s="39"/>
      <c r="D74" s="39"/>
      <c r="E74" s="55"/>
      <c r="F74" s="33"/>
    </row>
    <row r="75" spans="2:13" s="3" customFormat="1">
      <c r="C75" s="39"/>
      <c r="D75" s="39"/>
      <c r="E75" s="55"/>
      <c r="F75" s="33"/>
    </row>
    <row r="76" spans="2:13" s="3" customFormat="1">
      <c r="C76" s="39"/>
      <c r="D76" s="39"/>
      <c r="E76" s="55"/>
      <c r="F76" s="33"/>
    </row>
    <row r="77" spans="2:13" s="3" customFormat="1">
      <c r="C77" s="39"/>
      <c r="D77" s="39"/>
      <c r="E77" s="55"/>
      <c r="F77" s="33"/>
    </row>
    <row r="78" spans="2:13" s="3" customFormat="1">
      <c r="C78" s="39"/>
      <c r="D78" s="39"/>
      <c r="E78" s="55"/>
      <c r="F78" s="33"/>
    </row>
    <row r="79" spans="2:13" s="3" customFormat="1">
      <c r="C79" s="39"/>
      <c r="D79" s="39"/>
      <c r="E79" s="55"/>
      <c r="F79" s="33"/>
    </row>
    <row r="80" spans="2:13" s="3" customFormat="1">
      <c r="C80" s="39"/>
      <c r="D80" s="39"/>
      <c r="E80" s="55"/>
      <c r="F80" s="33"/>
    </row>
    <row r="81" spans="3:6" s="3" customFormat="1">
      <c r="C81" s="39"/>
      <c r="D81" s="39"/>
      <c r="E81" s="55"/>
      <c r="F81" s="33"/>
    </row>
    <row r="82" spans="3:6" s="3" customFormat="1">
      <c r="C82" s="39"/>
      <c r="D82" s="39"/>
      <c r="E82" s="55"/>
      <c r="F82" s="33"/>
    </row>
    <row r="83" spans="3:6" s="3" customFormat="1">
      <c r="C83" s="39"/>
      <c r="D83" s="39"/>
      <c r="E83" s="55"/>
      <c r="F83" s="33"/>
    </row>
    <row r="84" spans="3:6" s="3" customFormat="1">
      <c r="C84" s="39"/>
      <c r="D84" s="39"/>
      <c r="E84" s="55"/>
      <c r="F84" s="33"/>
    </row>
    <row r="85" spans="3:6" s="3" customFormat="1">
      <c r="C85" s="39"/>
      <c r="D85" s="39"/>
      <c r="E85" s="55"/>
      <c r="F85" s="33"/>
    </row>
    <row r="86" spans="3:6" s="3" customFormat="1">
      <c r="C86" s="39"/>
      <c r="D86" s="39"/>
      <c r="E86" s="55"/>
      <c r="F86" s="33"/>
    </row>
    <row r="87" spans="3:6" s="3" customFormat="1">
      <c r="C87" s="39"/>
      <c r="D87" s="39"/>
      <c r="E87" s="55"/>
      <c r="F87" s="33"/>
    </row>
    <row r="88" spans="3:6" s="3" customFormat="1">
      <c r="C88" s="39"/>
      <c r="D88" s="39"/>
      <c r="E88" s="55"/>
      <c r="F88" s="33"/>
    </row>
    <row r="89" spans="3:6" s="3" customFormat="1">
      <c r="C89" s="39"/>
      <c r="D89" s="39"/>
      <c r="E89" s="55"/>
      <c r="F89" s="33"/>
    </row>
    <row r="90" spans="3:6" s="3" customFormat="1">
      <c r="C90" s="39"/>
      <c r="D90" s="39"/>
      <c r="E90" s="55"/>
      <c r="F90" s="33"/>
    </row>
    <row r="91" spans="3:6" s="3" customFormat="1">
      <c r="C91" s="39"/>
      <c r="D91" s="39"/>
      <c r="E91" s="55"/>
      <c r="F91" s="33"/>
    </row>
    <row r="92" spans="3:6" s="3" customFormat="1">
      <c r="C92" s="39"/>
      <c r="D92" s="39"/>
      <c r="E92" s="55"/>
      <c r="F92" s="33"/>
    </row>
    <row r="93" spans="3:6" s="3" customFormat="1">
      <c r="C93" s="39"/>
      <c r="D93" s="39"/>
      <c r="E93" s="55"/>
      <c r="F93" s="33"/>
    </row>
    <row r="94" spans="3:6" s="3" customFormat="1">
      <c r="C94" s="39"/>
      <c r="D94" s="39"/>
      <c r="E94" s="55"/>
      <c r="F94" s="33"/>
    </row>
    <row r="95" spans="3:6" s="3" customFormat="1">
      <c r="C95" s="39"/>
      <c r="D95" s="39"/>
      <c r="E95" s="55"/>
      <c r="F95" s="33"/>
    </row>
    <row r="96" spans="3:6" s="3" customFormat="1">
      <c r="C96" s="39"/>
      <c r="D96" s="39"/>
      <c r="E96" s="55"/>
      <c r="F96" s="33"/>
    </row>
    <row r="97" spans="3:6" s="3" customFormat="1">
      <c r="C97" s="39"/>
      <c r="D97" s="39"/>
      <c r="E97" s="55"/>
      <c r="F97" s="33"/>
    </row>
    <row r="98" spans="3:6" s="3" customFormat="1">
      <c r="C98" s="39"/>
      <c r="D98" s="39"/>
      <c r="E98" s="55"/>
      <c r="F98" s="33"/>
    </row>
    <row r="99" spans="3:6" s="3" customFormat="1">
      <c r="C99" s="39"/>
      <c r="D99" s="39"/>
      <c r="E99" s="55"/>
      <c r="F99" s="33"/>
    </row>
    <row r="100" spans="3:6" s="3" customFormat="1">
      <c r="C100" s="39"/>
      <c r="D100" s="39"/>
      <c r="E100" s="55"/>
      <c r="F100" s="33"/>
    </row>
    <row r="101" spans="3:6" s="3" customFormat="1">
      <c r="C101" s="39"/>
      <c r="D101" s="39"/>
      <c r="E101" s="55"/>
      <c r="F101" s="33"/>
    </row>
    <row r="102" spans="3:6" s="3" customFormat="1">
      <c r="C102" s="39"/>
      <c r="D102" s="39"/>
      <c r="E102" s="55"/>
      <c r="F102" s="33"/>
    </row>
    <row r="103" spans="3:6" s="3" customFormat="1">
      <c r="C103" s="39"/>
      <c r="D103" s="39"/>
      <c r="E103" s="55"/>
      <c r="F103" s="33"/>
    </row>
    <row r="104" spans="3:6" s="3" customFormat="1">
      <c r="C104" s="39"/>
      <c r="D104" s="39"/>
      <c r="E104" s="55"/>
      <c r="F104" s="33"/>
    </row>
    <row r="105" spans="3:6" s="3" customFormat="1">
      <c r="C105" s="39"/>
      <c r="D105" s="39"/>
      <c r="E105" s="55"/>
      <c r="F105" s="33"/>
    </row>
    <row r="106" spans="3:6" s="3" customFormat="1">
      <c r="C106" s="39"/>
      <c r="D106" s="39"/>
      <c r="E106" s="55"/>
      <c r="F106" s="33"/>
    </row>
    <row r="107" spans="3:6" s="3" customFormat="1">
      <c r="C107" s="39"/>
      <c r="D107" s="39"/>
      <c r="E107" s="55"/>
      <c r="F107" s="33"/>
    </row>
    <row r="108" spans="3:6" s="3" customFormat="1">
      <c r="C108" s="39"/>
      <c r="D108" s="39"/>
      <c r="E108" s="55"/>
      <c r="F108" s="33"/>
    </row>
    <row r="109" spans="3:6" s="3" customFormat="1">
      <c r="C109" s="39"/>
      <c r="D109" s="39"/>
      <c r="E109" s="55"/>
      <c r="F109" s="33"/>
    </row>
    <row r="110" spans="3:6" s="3" customFormat="1">
      <c r="C110" s="39"/>
      <c r="D110" s="39"/>
      <c r="E110" s="55"/>
      <c r="F110" s="33"/>
    </row>
    <row r="111" spans="3:6" s="3" customFormat="1">
      <c r="C111" s="39"/>
      <c r="D111" s="39"/>
      <c r="E111" s="55"/>
      <c r="F111" s="33"/>
    </row>
    <row r="112" spans="3:6" s="3" customFormat="1">
      <c r="C112" s="39"/>
      <c r="D112" s="39"/>
      <c r="E112" s="55"/>
      <c r="F112" s="33"/>
    </row>
    <row r="113" spans="3:6" s="3" customFormat="1">
      <c r="C113" s="39"/>
      <c r="D113" s="39"/>
      <c r="E113" s="55"/>
      <c r="F113" s="33"/>
    </row>
    <row r="114" spans="3:6" s="3" customFormat="1">
      <c r="C114" s="39"/>
      <c r="D114" s="39"/>
      <c r="E114" s="55"/>
      <c r="F114" s="33"/>
    </row>
    <row r="115" spans="3:6" s="3" customFormat="1">
      <c r="C115" s="39"/>
      <c r="D115" s="39"/>
      <c r="E115" s="55"/>
      <c r="F115" s="33"/>
    </row>
    <row r="116" spans="3:6" s="3" customFormat="1">
      <c r="C116" s="39"/>
      <c r="D116" s="39"/>
      <c r="E116" s="55"/>
      <c r="F116" s="33"/>
    </row>
    <row r="117" spans="3:6" s="3" customFormat="1">
      <c r="C117" s="39"/>
      <c r="D117" s="39"/>
      <c r="E117" s="55"/>
      <c r="F117" s="33"/>
    </row>
    <row r="118" spans="3:6" s="3" customFormat="1">
      <c r="C118" s="39"/>
      <c r="D118" s="39"/>
      <c r="E118" s="55"/>
      <c r="F118" s="33"/>
    </row>
    <row r="119" spans="3:6" s="3" customFormat="1">
      <c r="C119" s="39"/>
      <c r="D119" s="39"/>
      <c r="E119" s="55"/>
      <c r="F119" s="33"/>
    </row>
    <row r="120" spans="3:6" s="3" customFormat="1">
      <c r="C120" s="39"/>
      <c r="D120" s="39"/>
      <c r="E120" s="55"/>
      <c r="F120" s="33"/>
    </row>
    <row r="121" spans="3:6" s="3" customFormat="1">
      <c r="C121" s="39"/>
      <c r="D121" s="39"/>
      <c r="E121" s="55"/>
      <c r="F121" s="33"/>
    </row>
    <row r="122" spans="3:6" s="3" customFormat="1">
      <c r="C122" s="39"/>
      <c r="D122" s="39"/>
      <c r="E122" s="55"/>
      <c r="F122" s="33"/>
    </row>
    <row r="123" spans="3:6" s="3" customFormat="1">
      <c r="C123" s="39"/>
      <c r="D123" s="39"/>
      <c r="E123" s="55"/>
      <c r="F123" s="33"/>
    </row>
    <row r="124" spans="3:6" s="3" customFormat="1">
      <c r="C124" s="39"/>
      <c r="D124" s="39"/>
      <c r="E124" s="55"/>
      <c r="F124" s="33"/>
    </row>
    <row r="125" spans="3:6" s="3" customFormat="1">
      <c r="C125" s="39"/>
      <c r="D125" s="39"/>
      <c r="E125" s="55"/>
      <c r="F125" s="33"/>
    </row>
    <row r="126" spans="3:6" s="3" customFormat="1">
      <c r="C126" s="39"/>
      <c r="D126" s="39"/>
      <c r="E126" s="55"/>
      <c r="F126" s="33"/>
    </row>
    <row r="127" spans="3:6" s="3" customFormat="1">
      <c r="C127" s="39"/>
      <c r="D127" s="39"/>
      <c r="E127" s="55"/>
      <c r="F127" s="33"/>
    </row>
    <row r="128" spans="3:6" s="3" customFormat="1">
      <c r="C128" s="39"/>
      <c r="D128" s="39"/>
      <c r="E128" s="55"/>
      <c r="F128" s="33"/>
    </row>
    <row r="129" spans="3:6" s="3" customFormat="1">
      <c r="C129" s="39"/>
      <c r="D129" s="39"/>
      <c r="E129" s="55"/>
      <c r="F129" s="33"/>
    </row>
    <row r="130" spans="3:6" s="3" customFormat="1">
      <c r="C130" s="39"/>
      <c r="D130" s="39"/>
      <c r="E130" s="55"/>
      <c r="F130" s="33"/>
    </row>
    <row r="131" spans="3:6" s="3" customFormat="1">
      <c r="C131" s="39"/>
      <c r="D131" s="39"/>
      <c r="E131" s="55"/>
      <c r="F131" s="33"/>
    </row>
    <row r="132" spans="3:6" s="3" customFormat="1">
      <c r="C132" s="39"/>
      <c r="D132" s="39"/>
      <c r="E132" s="55"/>
      <c r="F132" s="33"/>
    </row>
    <row r="133" spans="3:6" s="3" customFormat="1">
      <c r="C133" s="39"/>
      <c r="D133" s="39"/>
      <c r="E133" s="55"/>
      <c r="F133" s="33"/>
    </row>
    <row r="134" spans="3:6" s="3" customFormat="1">
      <c r="C134" s="39"/>
      <c r="D134" s="39"/>
      <c r="E134" s="55"/>
      <c r="F134" s="33"/>
    </row>
    <row r="135" spans="3:6" s="3" customFormat="1">
      <c r="C135" s="39"/>
      <c r="D135" s="39"/>
      <c r="E135" s="55"/>
      <c r="F135" s="33"/>
    </row>
    <row r="136" spans="3:6" s="3" customFormat="1">
      <c r="C136" s="39"/>
      <c r="D136" s="39"/>
      <c r="E136" s="55"/>
      <c r="F136" s="33"/>
    </row>
    <row r="137" spans="3:6" s="3" customFormat="1">
      <c r="C137" s="39"/>
      <c r="D137" s="39"/>
      <c r="E137" s="55"/>
      <c r="F137" s="33"/>
    </row>
    <row r="138" spans="3:6" s="3" customFormat="1">
      <c r="C138" s="39"/>
      <c r="D138" s="39"/>
      <c r="E138" s="55"/>
      <c r="F138" s="33"/>
    </row>
    <row r="139" spans="3:6" s="3" customFormat="1">
      <c r="C139" s="39"/>
      <c r="D139" s="39"/>
      <c r="E139" s="55"/>
      <c r="F139" s="33"/>
    </row>
    <row r="140" spans="3:6" s="3" customFormat="1">
      <c r="C140" s="39"/>
      <c r="D140" s="39"/>
      <c r="E140" s="55"/>
      <c r="F140" s="33"/>
    </row>
    <row r="141" spans="3:6" s="3" customFormat="1">
      <c r="C141" s="39"/>
      <c r="D141" s="39"/>
      <c r="E141" s="55"/>
      <c r="F141" s="33"/>
    </row>
    <row r="142" spans="3:6" s="3" customFormat="1">
      <c r="C142" s="39"/>
      <c r="D142" s="39"/>
      <c r="E142" s="55"/>
      <c r="F142" s="33"/>
    </row>
    <row r="143" spans="3:6" s="3" customFormat="1">
      <c r="C143" s="39"/>
      <c r="D143" s="39"/>
      <c r="E143" s="55"/>
      <c r="F143" s="33"/>
    </row>
    <row r="144" spans="3:6" s="3" customFormat="1">
      <c r="C144" s="39"/>
      <c r="D144" s="39"/>
      <c r="E144" s="55"/>
      <c r="F144" s="33"/>
    </row>
    <row r="145" spans="3:6" s="3" customFormat="1">
      <c r="C145" s="39"/>
      <c r="D145" s="39"/>
      <c r="E145" s="55"/>
      <c r="F145" s="33"/>
    </row>
    <row r="146" spans="3:6" s="3" customFormat="1">
      <c r="C146" s="39"/>
      <c r="D146" s="39"/>
      <c r="E146" s="55"/>
      <c r="F146" s="33"/>
    </row>
    <row r="147" spans="3:6" s="3" customFormat="1">
      <c r="C147" s="39"/>
      <c r="D147" s="39"/>
      <c r="E147" s="55"/>
      <c r="F147" s="33"/>
    </row>
    <row r="148" spans="3:6" s="3" customFormat="1">
      <c r="C148" s="39"/>
      <c r="D148" s="39"/>
      <c r="E148" s="55"/>
      <c r="F148" s="33"/>
    </row>
    <row r="149" spans="3:6" s="3" customFormat="1">
      <c r="C149" s="39"/>
      <c r="D149" s="39"/>
      <c r="E149" s="55"/>
      <c r="F149" s="33"/>
    </row>
    <row r="150" spans="3:6" s="3" customFormat="1">
      <c r="C150" s="39"/>
      <c r="D150" s="39"/>
      <c r="E150" s="55"/>
      <c r="F150" s="33"/>
    </row>
    <row r="151" spans="3:6" s="3" customFormat="1">
      <c r="C151" s="39"/>
      <c r="D151" s="39"/>
      <c r="E151" s="55"/>
      <c r="F151" s="33"/>
    </row>
    <row r="152" spans="3:6" s="3" customFormat="1">
      <c r="C152" s="39"/>
      <c r="D152" s="39"/>
      <c r="E152" s="55"/>
      <c r="F152" s="33"/>
    </row>
    <row r="153" spans="3:6" s="3" customFormat="1">
      <c r="C153" s="39"/>
      <c r="D153" s="39"/>
      <c r="E153" s="55"/>
      <c r="F153" s="33"/>
    </row>
    <row r="154" spans="3:6" s="3" customFormat="1">
      <c r="C154" s="39"/>
      <c r="D154" s="39"/>
      <c r="E154" s="55"/>
      <c r="F154" s="33"/>
    </row>
    <row r="155" spans="3:6" s="3" customFormat="1">
      <c r="C155" s="39"/>
      <c r="D155" s="39"/>
      <c r="E155" s="55"/>
      <c r="F155" s="33"/>
    </row>
    <row r="156" spans="3:6" s="3" customFormat="1">
      <c r="C156" s="39"/>
      <c r="D156" s="39"/>
      <c r="E156" s="55"/>
      <c r="F156" s="33"/>
    </row>
    <row r="157" spans="3:6" s="3" customFormat="1">
      <c r="C157" s="39"/>
      <c r="D157" s="39"/>
      <c r="E157" s="55"/>
      <c r="F157" s="33"/>
    </row>
    <row r="158" spans="3:6" s="3" customFormat="1">
      <c r="C158" s="39"/>
      <c r="D158" s="39"/>
      <c r="E158" s="55"/>
      <c r="F158" s="33"/>
    </row>
    <row r="159" spans="3:6" s="3" customFormat="1">
      <c r="C159" s="39"/>
      <c r="D159" s="39"/>
      <c r="E159" s="55"/>
      <c r="F159" s="33"/>
    </row>
    <row r="160" spans="3:6" s="3" customFormat="1">
      <c r="C160" s="39"/>
      <c r="D160" s="39"/>
      <c r="E160" s="55"/>
      <c r="F160" s="33"/>
    </row>
    <row r="161" spans="3:6" s="3" customFormat="1">
      <c r="C161" s="39"/>
      <c r="D161" s="39"/>
      <c r="E161" s="55"/>
      <c r="F161" s="33"/>
    </row>
    <row r="162" spans="3:6" s="3" customFormat="1">
      <c r="C162" s="39"/>
      <c r="D162" s="39"/>
      <c r="E162" s="55"/>
      <c r="F162" s="33"/>
    </row>
    <row r="163" spans="3:6" s="3" customFormat="1">
      <c r="C163" s="39"/>
      <c r="D163" s="39"/>
      <c r="E163" s="55"/>
      <c r="F163" s="33"/>
    </row>
    <row r="164" spans="3:6" s="3" customFormat="1">
      <c r="C164" s="39"/>
      <c r="D164" s="39"/>
      <c r="E164" s="55"/>
      <c r="F164" s="33"/>
    </row>
    <row r="165" spans="3:6" s="3" customFormat="1">
      <c r="C165" s="39"/>
      <c r="D165" s="39"/>
      <c r="E165" s="55"/>
      <c r="F165" s="33"/>
    </row>
    <row r="166" spans="3:6" s="3" customFormat="1">
      <c r="C166" s="39"/>
      <c r="D166" s="39"/>
      <c r="E166" s="55"/>
      <c r="F166" s="33"/>
    </row>
    <row r="167" spans="3:6" s="3" customFormat="1">
      <c r="C167" s="39"/>
      <c r="D167" s="39"/>
      <c r="E167" s="55"/>
      <c r="F167" s="33"/>
    </row>
    <row r="168" spans="3:6" s="3" customFormat="1">
      <c r="C168" s="39"/>
      <c r="D168" s="39"/>
      <c r="E168" s="55"/>
      <c r="F168" s="33"/>
    </row>
    <row r="169" spans="3:6" s="3" customFormat="1">
      <c r="C169" s="39"/>
      <c r="D169" s="39"/>
      <c r="E169" s="55"/>
      <c r="F169" s="33"/>
    </row>
    <row r="170" spans="3:6" s="3" customFormat="1">
      <c r="C170" s="39"/>
      <c r="D170" s="39"/>
      <c r="E170" s="55"/>
      <c r="F170" s="33"/>
    </row>
    <row r="171" spans="3:6" s="3" customFormat="1">
      <c r="C171" s="39"/>
      <c r="D171" s="39"/>
      <c r="E171" s="55"/>
      <c r="F171" s="33"/>
    </row>
    <row r="172" spans="3:6" s="3" customFormat="1">
      <c r="C172" s="39"/>
      <c r="D172" s="39"/>
      <c r="E172" s="55"/>
      <c r="F172" s="33"/>
    </row>
    <row r="173" spans="3:6" s="3" customFormat="1">
      <c r="C173" s="39"/>
      <c r="D173" s="39"/>
      <c r="E173" s="55"/>
      <c r="F173" s="33"/>
    </row>
    <row r="174" spans="3:6" s="3" customFormat="1">
      <c r="C174" s="39"/>
      <c r="D174" s="39"/>
      <c r="E174" s="55"/>
      <c r="F174" s="33"/>
    </row>
    <row r="175" spans="3:6" s="3" customFormat="1">
      <c r="C175" s="39"/>
      <c r="D175" s="39"/>
      <c r="E175" s="55"/>
      <c r="F175" s="33"/>
    </row>
    <row r="176" spans="3:6" s="3" customFormat="1">
      <c r="C176" s="39"/>
      <c r="D176" s="39"/>
      <c r="E176" s="55"/>
      <c r="F176" s="33"/>
    </row>
    <row r="177" spans="3:6" s="3" customFormat="1">
      <c r="C177" s="39"/>
      <c r="D177" s="39"/>
      <c r="E177" s="55"/>
      <c r="F177" s="33"/>
    </row>
    <row r="178" spans="3:6" s="3" customFormat="1">
      <c r="C178" s="39"/>
      <c r="D178" s="39"/>
      <c r="E178" s="55"/>
      <c r="F178" s="33"/>
    </row>
    <row r="179" spans="3:6" s="3" customFormat="1">
      <c r="C179" s="39"/>
      <c r="D179" s="39"/>
      <c r="E179" s="55"/>
      <c r="F179" s="33"/>
    </row>
    <row r="180" spans="3:6" s="3" customFormat="1">
      <c r="C180" s="39"/>
      <c r="D180" s="39"/>
      <c r="E180" s="55"/>
      <c r="F180" s="33"/>
    </row>
    <row r="181" spans="3:6" s="3" customFormat="1">
      <c r="C181" s="39"/>
      <c r="D181" s="39"/>
      <c r="E181" s="55"/>
      <c r="F181" s="33"/>
    </row>
    <row r="182" spans="3:6" s="3" customFormat="1">
      <c r="C182" s="39"/>
      <c r="D182" s="39"/>
      <c r="E182" s="55"/>
      <c r="F182" s="33"/>
    </row>
    <row r="183" spans="3:6" s="3" customFormat="1">
      <c r="C183" s="39"/>
      <c r="D183" s="39"/>
      <c r="E183" s="55"/>
      <c r="F183" s="33"/>
    </row>
    <row r="184" spans="3:6" s="3" customFormat="1">
      <c r="C184" s="39"/>
      <c r="D184" s="39"/>
      <c r="E184" s="55"/>
      <c r="F184" s="33"/>
    </row>
    <row r="185" spans="3:6" s="3" customFormat="1">
      <c r="C185" s="39"/>
      <c r="D185" s="39"/>
      <c r="E185" s="55"/>
      <c r="F185" s="33"/>
    </row>
    <row r="186" spans="3:6" s="3" customFormat="1">
      <c r="C186" s="39"/>
      <c r="D186" s="39"/>
      <c r="E186" s="55"/>
      <c r="F186" s="33"/>
    </row>
    <row r="187" spans="3:6" s="3" customFormat="1">
      <c r="C187" s="39"/>
      <c r="D187" s="39"/>
      <c r="E187" s="55"/>
      <c r="F187" s="33"/>
    </row>
    <row r="188" spans="3:6" s="3" customFormat="1">
      <c r="C188" s="39"/>
      <c r="D188" s="39"/>
      <c r="E188" s="55"/>
      <c r="F188" s="33"/>
    </row>
    <row r="189" spans="3:6" s="3" customFormat="1">
      <c r="C189" s="39"/>
      <c r="D189" s="39"/>
      <c r="E189" s="55"/>
      <c r="F189" s="33"/>
    </row>
    <row r="190" spans="3:6" s="3" customFormat="1">
      <c r="C190" s="39"/>
      <c r="D190" s="39"/>
      <c r="E190" s="55"/>
      <c r="F190" s="33"/>
    </row>
    <row r="191" spans="3:6" s="3" customFormat="1">
      <c r="C191" s="39"/>
      <c r="D191" s="39"/>
      <c r="E191" s="55"/>
      <c r="F191" s="33"/>
    </row>
    <row r="192" spans="3:6" s="3" customFormat="1">
      <c r="C192" s="39"/>
      <c r="D192" s="39"/>
      <c r="E192" s="55"/>
      <c r="F192" s="33"/>
    </row>
    <row r="193" spans="3:6" s="3" customFormat="1">
      <c r="C193" s="39"/>
      <c r="D193" s="39"/>
      <c r="E193" s="55"/>
      <c r="F193" s="33"/>
    </row>
    <row r="194" spans="3:6" s="3" customFormat="1">
      <c r="C194" s="39"/>
      <c r="D194" s="39"/>
      <c r="E194" s="55"/>
      <c r="F194" s="33"/>
    </row>
    <row r="195" spans="3:6" s="3" customFormat="1">
      <c r="C195" s="39"/>
      <c r="D195" s="39"/>
      <c r="E195" s="55"/>
      <c r="F195" s="33"/>
    </row>
    <row r="196" spans="3:6" s="3" customFormat="1">
      <c r="C196" s="39"/>
      <c r="D196" s="39"/>
      <c r="E196" s="55"/>
      <c r="F196" s="33"/>
    </row>
    <row r="197" spans="3:6" s="3" customFormat="1">
      <c r="C197" s="39"/>
      <c r="D197" s="39"/>
      <c r="E197" s="55"/>
      <c r="F197" s="33"/>
    </row>
    <row r="198" spans="3:6" s="3" customFormat="1">
      <c r="C198" s="39"/>
      <c r="D198" s="39"/>
      <c r="E198" s="55"/>
      <c r="F198" s="33"/>
    </row>
    <row r="199" spans="3:6" s="3" customFormat="1">
      <c r="C199" s="39"/>
      <c r="D199" s="39"/>
      <c r="E199" s="55"/>
      <c r="F199" s="33"/>
    </row>
    <row r="200" spans="3:6" s="3" customFormat="1">
      <c r="C200" s="39"/>
      <c r="D200" s="39"/>
      <c r="E200" s="55"/>
      <c r="F200" s="33"/>
    </row>
    <row r="201" spans="3:6" s="3" customFormat="1">
      <c r="C201" s="39"/>
      <c r="D201" s="39"/>
      <c r="E201" s="55"/>
      <c r="F201" s="33"/>
    </row>
    <row r="202" spans="3:6" s="3" customFormat="1">
      <c r="C202" s="39"/>
      <c r="D202" s="39"/>
      <c r="E202" s="55"/>
      <c r="F202" s="33"/>
    </row>
    <row r="203" spans="3:6" s="3" customFormat="1">
      <c r="C203" s="39"/>
      <c r="D203" s="39"/>
      <c r="E203" s="55"/>
      <c r="F203" s="33"/>
    </row>
    <row r="204" spans="3:6" s="3" customFormat="1">
      <c r="C204" s="39"/>
      <c r="D204" s="39"/>
      <c r="E204" s="55"/>
      <c r="F204" s="33"/>
    </row>
    <row r="205" spans="3:6" s="3" customFormat="1">
      <c r="C205" s="39"/>
      <c r="D205" s="39"/>
      <c r="E205" s="55"/>
      <c r="F205" s="33"/>
    </row>
    <row r="206" spans="3:6" s="3" customFormat="1">
      <c r="C206" s="39"/>
      <c r="D206" s="39"/>
      <c r="E206" s="55"/>
      <c r="F206" s="33"/>
    </row>
    <row r="207" spans="3:6" s="3" customFormat="1">
      <c r="C207" s="39"/>
      <c r="D207" s="39"/>
      <c r="E207" s="55"/>
      <c r="F207" s="33"/>
    </row>
    <row r="208" spans="3:6" s="3" customFormat="1">
      <c r="C208" s="39"/>
      <c r="D208" s="39"/>
      <c r="E208" s="55"/>
      <c r="F208" s="33"/>
    </row>
    <row r="209" spans="3:6" s="3" customFormat="1">
      <c r="C209" s="39"/>
      <c r="D209" s="39"/>
      <c r="E209" s="55"/>
      <c r="F209" s="33"/>
    </row>
    <row r="210" spans="3:6" s="3" customFormat="1">
      <c r="C210" s="39"/>
      <c r="D210" s="39"/>
      <c r="E210" s="55"/>
      <c r="F210" s="33"/>
    </row>
    <row r="211" spans="3:6" s="3" customFormat="1">
      <c r="C211" s="39"/>
      <c r="D211" s="39"/>
      <c r="E211" s="55"/>
      <c r="F211" s="33"/>
    </row>
    <row r="212" spans="3:6" s="3" customFormat="1">
      <c r="C212" s="39"/>
      <c r="D212" s="39"/>
      <c r="E212" s="55"/>
      <c r="F212" s="33"/>
    </row>
    <row r="213" spans="3:6" s="3" customFormat="1">
      <c r="C213" s="39"/>
      <c r="D213" s="39"/>
      <c r="E213" s="55"/>
      <c r="F213" s="33"/>
    </row>
    <row r="214" spans="3:6" s="3" customFormat="1">
      <c r="C214" s="39"/>
      <c r="D214" s="39"/>
      <c r="E214" s="55"/>
      <c r="F214" s="33"/>
    </row>
    <row r="215" spans="3:6" s="3" customFormat="1">
      <c r="C215" s="39"/>
      <c r="D215" s="39"/>
      <c r="E215" s="55"/>
      <c r="F215" s="33"/>
    </row>
    <row r="216" spans="3:6" s="3" customFormat="1">
      <c r="C216" s="39"/>
      <c r="D216" s="39"/>
      <c r="E216" s="55"/>
      <c r="F216" s="33"/>
    </row>
    <row r="217" spans="3:6" s="3" customFormat="1">
      <c r="C217" s="39"/>
      <c r="D217" s="39"/>
      <c r="E217" s="55"/>
      <c r="F217" s="33"/>
    </row>
    <row r="218" spans="3:6" s="3" customFormat="1">
      <c r="C218" s="39"/>
      <c r="D218" s="39"/>
      <c r="E218" s="55"/>
      <c r="F218" s="33"/>
    </row>
    <row r="219" spans="3:6" s="3" customFormat="1">
      <c r="C219" s="39"/>
      <c r="D219" s="39"/>
      <c r="E219" s="55"/>
      <c r="F219" s="33"/>
    </row>
    <row r="220" spans="3:6" s="3" customFormat="1">
      <c r="C220" s="39"/>
      <c r="D220" s="39"/>
      <c r="E220" s="55"/>
      <c r="F220" s="33"/>
    </row>
    <row r="221" spans="3:6" s="3" customFormat="1">
      <c r="C221" s="39"/>
      <c r="D221" s="39"/>
      <c r="E221" s="55"/>
      <c r="F221" s="33"/>
    </row>
    <row r="222" spans="3:6" s="3" customFormat="1">
      <c r="C222" s="39"/>
      <c r="D222" s="39"/>
      <c r="E222" s="55"/>
      <c r="F222" s="33"/>
    </row>
    <row r="223" spans="3:6" s="3" customFormat="1">
      <c r="C223" s="39"/>
      <c r="D223" s="39"/>
      <c r="E223" s="55"/>
      <c r="F223" s="33"/>
    </row>
    <row r="224" spans="3:6" s="3" customFormat="1">
      <c r="C224" s="39"/>
      <c r="D224" s="39"/>
      <c r="E224" s="55"/>
      <c r="F224" s="33"/>
    </row>
    <row r="225" spans="3:6" s="3" customFormat="1">
      <c r="C225" s="39"/>
      <c r="D225" s="39"/>
      <c r="E225" s="55"/>
      <c r="F225" s="33"/>
    </row>
    <row r="226" spans="3:6" s="3" customFormat="1">
      <c r="C226" s="39"/>
      <c r="D226" s="39"/>
      <c r="E226" s="55"/>
      <c r="F226" s="33"/>
    </row>
    <row r="227" spans="3:6" s="3" customFormat="1">
      <c r="C227" s="39"/>
      <c r="D227" s="39"/>
      <c r="E227" s="55"/>
      <c r="F227" s="33"/>
    </row>
    <row r="228" spans="3:6" s="3" customFormat="1">
      <c r="C228" s="39"/>
      <c r="D228" s="39"/>
      <c r="E228" s="55"/>
      <c r="F228" s="33"/>
    </row>
    <row r="229" spans="3:6" s="3" customFormat="1">
      <c r="C229" s="39"/>
      <c r="D229" s="39"/>
      <c r="E229" s="55"/>
      <c r="F229" s="33"/>
    </row>
    <row r="230" spans="3:6" s="3" customFormat="1">
      <c r="C230" s="39"/>
      <c r="D230" s="39"/>
      <c r="E230" s="55"/>
      <c r="F230" s="33"/>
    </row>
    <row r="231" spans="3:6" s="3" customFormat="1">
      <c r="C231" s="39"/>
      <c r="D231" s="39"/>
      <c r="E231" s="55"/>
      <c r="F231" s="33"/>
    </row>
    <row r="232" spans="3:6" s="3" customFormat="1">
      <c r="C232" s="39"/>
      <c r="D232" s="39"/>
      <c r="E232" s="55"/>
      <c r="F232" s="33"/>
    </row>
    <row r="233" spans="3:6" s="3" customFormat="1">
      <c r="C233" s="39"/>
      <c r="D233" s="39"/>
      <c r="E233" s="55"/>
      <c r="F233" s="33"/>
    </row>
    <row r="234" spans="3:6" s="3" customFormat="1">
      <c r="C234" s="39"/>
      <c r="D234" s="39"/>
      <c r="E234" s="55"/>
      <c r="F234" s="33"/>
    </row>
    <row r="235" spans="3:6" s="3" customFormat="1">
      <c r="C235" s="39"/>
      <c r="D235" s="39"/>
      <c r="E235" s="55"/>
      <c r="F235" s="33"/>
    </row>
    <row r="236" spans="3:6" s="3" customFormat="1">
      <c r="C236" s="39"/>
      <c r="D236" s="39"/>
      <c r="E236" s="55"/>
      <c r="F236" s="33"/>
    </row>
    <row r="237" spans="3:6" s="3" customFormat="1">
      <c r="C237" s="39"/>
      <c r="D237" s="39"/>
      <c r="E237" s="55"/>
      <c r="F237" s="33"/>
    </row>
    <row r="238" spans="3:6" s="3" customFormat="1">
      <c r="C238" s="39"/>
      <c r="D238" s="39"/>
      <c r="E238" s="55"/>
      <c r="F238" s="33"/>
    </row>
    <row r="239" spans="3:6" s="3" customFormat="1">
      <c r="C239" s="39"/>
      <c r="D239" s="39"/>
      <c r="E239" s="55"/>
      <c r="F239" s="33"/>
    </row>
    <row r="240" spans="3:6" s="3" customFormat="1">
      <c r="C240" s="39"/>
      <c r="D240" s="39"/>
      <c r="E240" s="55"/>
      <c r="F240" s="33"/>
    </row>
    <row r="241" spans="3:6" s="3" customFormat="1">
      <c r="C241" s="39"/>
      <c r="D241" s="39"/>
      <c r="E241" s="55"/>
      <c r="F241" s="33"/>
    </row>
    <row r="242" spans="3:6" s="3" customFormat="1">
      <c r="C242" s="39"/>
      <c r="D242" s="39"/>
      <c r="E242" s="55"/>
      <c r="F242" s="33"/>
    </row>
    <row r="243" spans="3:6" s="3" customFormat="1">
      <c r="C243" s="39"/>
      <c r="D243" s="39"/>
      <c r="E243" s="55"/>
      <c r="F243" s="33"/>
    </row>
    <row r="244" spans="3:6" s="3" customFormat="1">
      <c r="C244" s="39"/>
      <c r="D244" s="39"/>
      <c r="E244" s="55"/>
      <c r="F244" s="33"/>
    </row>
    <row r="245" spans="3:6" s="3" customFormat="1">
      <c r="C245" s="39"/>
      <c r="D245" s="39"/>
      <c r="E245" s="55"/>
      <c r="F245" s="33"/>
    </row>
    <row r="246" spans="3:6" s="3" customFormat="1">
      <c r="C246" s="39"/>
      <c r="D246" s="39"/>
      <c r="E246" s="55"/>
      <c r="F246" s="33"/>
    </row>
    <row r="247" spans="3:6" s="3" customFormat="1">
      <c r="C247" s="39"/>
      <c r="D247" s="39"/>
      <c r="E247" s="55"/>
      <c r="F247" s="33"/>
    </row>
    <row r="248" spans="3:6" s="3" customFormat="1">
      <c r="C248" s="39"/>
      <c r="D248" s="39"/>
      <c r="E248" s="55"/>
      <c r="F248" s="33"/>
    </row>
    <row r="249" spans="3:6" s="3" customFormat="1">
      <c r="C249" s="39"/>
      <c r="D249" s="39"/>
      <c r="E249" s="55"/>
      <c r="F249" s="33"/>
    </row>
    <row r="250" spans="3:6" s="3" customFormat="1">
      <c r="C250" s="39"/>
      <c r="D250" s="39"/>
      <c r="E250" s="55"/>
      <c r="F250" s="33"/>
    </row>
    <row r="251" spans="3:6" s="3" customFormat="1">
      <c r="C251" s="39"/>
      <c r="D251" s="39"/>
      <c r="E251" s="55"/>
      <c r="F251" s="33"/>
    </row>
    <row r="252" spans="3:6" s="3" customFormat="1">
      <c r="C252" s="39"/>
      <c r="D252" s="39"/>
      <c r="E252" s="55"/>
      <c r="F252" s="33"/>
    </row>
    <row r="253" spans="3:6" s="3" customFormat="1">
      <c r="C253" s="39"/>
      <c r="D253" s="39"/>
      <c r="E253" s="55"/>
      <c r="F253" s="33"/>
    </row>
    <row r="254" spans="3:6" s="3" customFormat="1">
      <c r="C254" s="39"/>
      <c r="D254" s="39"/>
      <c r="E254" s="55"/>
      <c r="F254" s="33"/>
    </row>
    <row r="255" spans="3:6" s="3" customFormat="1">
      <c r="C255" s="39"/>
      <c r="D255" s="39"/>
      <c r="E255" s="55"/>
      <c r="F255" s="33"/>
    </row>
    <row r="256" spans="3:6" s="3" customFormat="1">
      <c r="C256" s="39"/>
      <c r="D256" s="39"/>
      <c r="E256" s="55"/>
      <c r="F256" s="33"/>
    </row>
    <row r="257" spans="3:6" s="3" customFormat="1">
      <c r="C257" s="39"/>
      <c r="D257" s="39"/>
      <c r="E257" s="55"/>
      <c r="F257" s="33"/>
    </row>
    <row r="258" spans="3:6" s="3" customFormat="1">
      <c r="C258" s="39"/>
      <c r="D258" s="39"/>
      <c r="E258" s="55"/>
      <c r="F258" s="33"/>
    </row>
    <row r="259" spans="3:6" s="3" customFormat="1">
      <c r="C259" s="39"/>
      <c r="D259" s="39"/>
      <c r="E259" s="55"/>
      <c r="F259" s="33"/>
    </row>
    <row r="260" spans="3:6" s="3" customFormat="1">
      <c r="C260" s="39"/>
      <c r="D260" s="39"/>
      <c r="E260" s="55"/>
      <c r="F260" s="33"/>
    </row>
    <row r="261" spans="3:6" s="3" customFormat="1">
      <c r="C261" s="39"/>
      <c r="D261" s="39"/>
      <c r="E261" s="55"/>
      <c r="F261" s="33"/>
    </row>
    <row r="262" spans="3:6" s="3" customFormat="1">
      <c r="C262" s="39"/>
      <c r="D262" s="39"/>
      <c r="E262" s="55"/>
      <c r="F262" s="33"/>
    </row>
    <row r="263" spans="3:6" s="3" customFormat="1">
      <c r="C263" s="39"/>
      <c r="D263" s="39"/>
      <c r="E263" s="55"/>
      <c r="F263" s="33"/>
    </row>
    <row r="264" spans="3:6" s="3" customFormat="1">
      <c r="C264" s="39"/>
      <c r="D264" s="39"/>
      <c r="E264" s="55"/>
      <c r="F264" s="33"/>
    </row>
    <row r="265" spans="3:6" s="3" customFormat="1">
      <c r="C265" s="39"/>
      <c r="D265" s="39"/>
      <c r="E265" s="55"/>
      <c r="F265" s="33"/>
    </row>
    <row r="266" spans="3:6" s="3" customFormat="1">
      <c r="C266" s="39"/>
      <c r="D266" s="39"/>
      <c r="E266" s="55"/>
      <c r="F266" s="33"/>
    </row>
    <row r="267" spans="3:6" s="3" customFormat="1">
      <c r="C267" s="39"/>
      <c r="D267" s="39"/>
      <c r="E267" s="55"/>
      <c r="F267" s="33"/>
    </row>
    <row r="268" spans="3:6" s="3" customFormat="1">
      <c r="C268" s="39"/>
      <c r="D268" s="39"/>
      <c r="E268" s="55"/>
      <c r="F268" s="33"/>
    </row>
    <row r="269" spans="3:6" s="3" customFormat="1">
      <c r="C269" s="39"/>
      <c r="D269" s="39"/>
      <c r="E269" s="55"/>
      <c r="F269" s="33"/>
    </row>
    <row r="270" spans="3:6" s="3" customFormat="1">
      <c r="C270" s="39"/>
      <c r="D270" s="39"/>
      <c r="E270" s="55"/>
      <c r="F270" s="33"/>
    </row>
    <row r="271" spans="3:6" s="3" customFormat="1">
      <c r="C271" s="39"/>
      <c r="D271" s="39"/>
      <c r="E271" s="55"/>
      <c r="F271" s="33"/>
    </row>
    <row r="272" spans="3:6" s="3" customFormat="1">
      <c r="C272" s="39"/>
      <c r="D272" s="39"/>
      <c r="E272" s="55"/>
      <c r="F272" s="33"/>
    </row>
    <row r="273" spans="3:6" s="3" customFormat="1">
      <c r="C273" s="39"/>
      <c r="D273" s="39"/>
      <c r="E273" s="55"/>
      <c r="F273" s="33"/>
    </row>
    <row r="274" spans="3:6" s="3" customFormat="1">
      <c r="C274" s="39"/>
      <c r="D274" s="39"/>
      <c r="E274" s="55"/>
      <c r="F274" s="33"/>
    </row>
    <row r="275" spans="3:6" s="3" customFormat="1">
      <c r="C275" s="39"/>
      <c r="D275" s="39"/>
      <c r="E275" s="55"/>
      <c r="F275" s="33"/>
    </row>
    <row r="276" spans="3:6" s="3" customFormat="1">
      <c r="C276" s="39"/>
      <c r="D276" s="39"/>
      <c r="E276" s="55"/>
      <c r="F276" s="33"/>
    </row>
    <row r="277" spans="3:6" s="3" customFormat="1">
      <c r="C277" s="39"/>
      <c r="D277" s="39"/>
      <c r="E277" s="55"/>
      <c r="F277" s="33"/>
    </row>
    <row r="278" spans="3:6" s="3" customFormat="1">
      <c r="C278" s="39"/>
      <c r="D278" s="39"/>
      <c r="E278" s="55"/>
      <c r="F278" s="33"/>
    </row>
    <row r="279" spans="3:6" s="3" customFormat="1">
      <c r="C279" s="39"/>
      <c r="D279" s="39"/>
      <c r="E279" s="55"/>
      <c r="F279" s="33"/>
    </row>
    <row r="280" spans="3:6" s="3" customFormat="1">
      <c r="C280" s="39"/>
      <c r="D280" s="39"/>
      <c r="E280" s="55"/>
      <c r="F280" s="33"/>
    </row>
    <row r="281" spans="3:6" s="3" customFormat="1">
      <c r="C281" s="39"/>
      <c r="D281" s="39"/>
      <c r="E281" s="55"/>
      <c r="F281" s="33"/>
    </row>
    <row r="282" spans="3:6" s="3" customFormat="1">
      <c r="C282" s="39"/>
      <c r="D282" s="39"/>
      <c r="E282" s="55"/>
      <c r="F282" s="33"/>
    </row>
    <row r="283" spans="3:6" s="3" customFormat="1">
      <c r="C283" s="39"/>
      <c r="D283" s="39"/>
      <c r="E283" s="55"/>
      <c r="F283" s="33"/>
    </row>
    <row r="284" spans="3:6" s="3" customFormat="1">
      <c r="C284" s="39"/>
      <c r="D284" s="39"/>
      <c r="E284" s="55"/>
      <c r="F284" s="33"/>
    </row>
    <row r="285" spans="3:6" s="3" customFormat="1">
      <c r="C285" s="39"/>
      <c r="D285" s="39"/>
      <c r="E285" s="55"/>
      <c r="F285" s="33"/>
    </row>
    <row r="286" spans="3:6" s="3" customFormat="1">
      <c r="C286" s="39"/>
      <c r="D286" s="39"/>
      <c r="E286" s="55"/>
      <c r="F286" s="33"/>
    </row>
    <row r="287" spans="3:6" s="3" customFormat="1">
      <c r="C287" s="39"/>
      <c r="D287" s="39"/>
      <c r="E287" s="55"/>
      <c r="F287" s="33"/>
    </row>
    <row r="288" spans="3:6" s="3" customFormat="1">
      <c r="C288" s="39"/>
      <c r="D288" s="39"/>
      <c r="E288" s="55"/>
      <c r="F288" s="33"/>
    </row>
    <row r="289" spans="3:6" s="3" customFormat="1">
      <c r="C289" s="39"/>
      <c r="D289" s="39"/>
      <c r="E289" s="55"/>
      <c r="F289" s="33"/>
    </row>
    <row r="290" spans="3:6" s="3" customFormat="1">
      <c r="C290" s="39"/>
      <c r="D290" s="39"/>
      <c r="E290" s="55"/>
      <c r="F290" s="33"/>
    </row>
    <row r="291" spans="3:6" s="3" customFormat="1">
      <c r="C291" s="39"/>
      <c r="D291" s="39"/>
      <c r="E291" s="55"/>
      <c r="F291" s="33"/>
    </row>
    <row r="292" spans="3:6" s="3" customFormat="1">
      <c r="C292" s="39"/>
      <c r="D292" s="39"/>
      <c r="E292" s="55"/>
      <c r="F292" s="33"/>
    </row>
    <row r="293" spans="3:6" s="3" customFormat="1">
      <c r="C293" s="39"/>
      <c r="D293" s="39"/>
      <c r="E293" s="55"/>
      <c r="F293" s="33"/>
    </row>
    <row r="294" spans="3:6" s="3" customFormat="1">
      <c r="C294" s="39"/>
      <c r="D294" s="39"/>
      <c r="E294" s="55"/>
      <c r="F294" s="33"/>
    </row>
    <row r="295" spans="3:6" s="3" customFormat="1">
      <c r="C295" s="39"/>
      <c r="D295" s="39"/>
      <c r="E295" s="55"/>
      <c r="F295" s="33"/>
    </row>
    <row r="296" spans="3:6" s="3" customFormat="1">
      <c r="C296" s="39"/>
      <c r="D296" s="39"/>
      <c r="E296" s="55"/>
      <c r="F296" s="33"/>
    </row>
    <row r="297" spans="3:6" s="3" customFormat="1">
      <c r="C297" s="39"/>
      <c r="D297" s="39"/>
      <c r="E297" s="55"/>
      <c r="F297" s="33"/>
    </row>
    <row r="298" spans="3:6" s="3" customFormat="1">
      <c r="C298" s="39"/>
      <c r="D298" s="39"/>
      <c r="E298" s="55"/>
      <c r="F298" s="33"/>
    </row>
    <row r="299" spans="3:6" s="3" customFormat="1">
      <c r="C299" s="39"/>
      <c r="D299" s="39"/>
      <c r="E299" s="55"/>
      <c r="F299" s="33"/>
    </row>
    <row r="300" spans="3:6" s="3" customFormat="1">
      <c r="C300" s="39"/>
      <c r="D300" s="39"/>
      <c r="E300" s="55"/>
      <c r="F300" s="33"/>
    </row>
    <row r="301" spans="3:6" s="3" customFormat="1">
      <c r="C301" s="39"/>
      <c r="D301" s="39"/>
      <c r="E301" s="55"/>
      <c r="F301" s="33"/>
    </row>
    <row r="302" spans="3:6" s="3" customFormat="1">
      <c r="C302" s="39"/>
      <c r="D302" s="39"/>
      <c r="E302" s="55"/>
      <c r="F302" s="33"/>
    </row>
    <row r="303" spans="3:6" s="3" customFormat="1">
      <c r="C303" s="39"/>
      <c r="D303" s="39"/>
      <c r="E303" s="55"/>
      <c r="F303" s="33"/>
    </row>
    <row r="304" spans="3:6" s="3" customFormat="1">
      <c r="C304" s="39"/>
      <c r="D304" s="39"/>
      <c r="E304" s="55"/>
      <c r="F304" s="33"/>
    </row>
    <row r="305" spans="3:6" s="3" customFormat="1">
      <c r="C305" s="39"/>
      <c r="D305" s="39"/>
      <c r="E305" s="55"/>
      <c r="F305" s="33"/>
    </row>
    <row r="306" spans="3:6" s="3" customFormat="1">
      <c r="C306" s="39"/>
      <c r="D306" s="39"/>
      <c r="E306" s="55"/>
      <c r="F306" s="33"/>
    </row>
    <row r="307" spans="3:6" s="3" customFormat="1">
      <c r="C307" s="39"/>
      <c r="D307" s="39"/>
      <c r="E307" s="55"/>
      <c r="F307" s="33"/>
    </row>
    <row r="308" spans="3:6" s="3" customFormat="1">
      <c r="C308" s="39"/>
      <c r="D308" s="39"/>
      <c r="E308" s="55"/>
      <c r="F308" s="33"/>
    </row>
    <row r="309" spans="3:6" s="3" customFormat="1">
      <c r="C309" s="39"/>
      <c r="D309" s="39"/>
      <c r="E309" s="55"/>
      <c r="F309" s="33"/>
    </row>
    <row r="310" spans="3:6" s="3" customFormat="1">
      <c r="C310" s="39"/>
      <c r="D310" s="39"/>
      <c r="E310" s="55"/>
      <c r="F310" s="33"/>
    </row>
    <row r="311" spans="3:6" s="3" customFormat="1">
      <c r="C311" s="39"/>
      <c r="D311" s="39"/>
      <c r="E311" s="55"/>
      <c r="F311" s="33"/>
    </row>
    <row r="312" spans="3:6" s="3" customFormat="1">
      <c r="C312" s="39"/>
      <c r="D312" s="39"/>
      <c r="E312" s="55"/>
      <c r="F312" s="33"/>
    </row>
    <row r="313" spans="3:6" s="3" customFormat="1">
      <c r="C313" s="39"/>
      <c r="D313" s="39"/>
      <c r="E313" s="55"/>
      <c r="F313" s="33"/>
    </row>
    <row r="314" spans="3:6" s="3" customFormat="1">
      <c r="C314" s="39"/>
      <c r="D314" s="39"/>
      <c r="E314" s="55"/>
      <c r="F314" s="33"/>
    </row>
    <row r="315" spans="3:6" s="3" customFormat="1">
      <c r="C315" s="39"/>
      <c r="D315" s="39"/>
      <c r="E315" s="55"/>
      <c r="F315" s="33"/>
    </row>
    <row r="316" spans="3:6" s="3" customFormat="1">
      <c r="C316" s="39"/>
      <c r="D316" s="39"/>
      <c r="E316" s="55"/>
      <c r="F316" s="33"/>
    </row>
    <row r="317" spans="3:6" s="3" customFormat="1">
      <c r="C317" s="39"/>
      <c r="D317" s="39"/>
      <c r="E317" s="55"/>
      <c r="F317" s="33"/>
    </row>
    <row r="318" spans="3:6" s="3" customFormat="1">
      <c r="C318" s="39"/>
      <c r="D318" s="39"/>
      <c r="E318" s="55"/>
      <c r="F318" s="33"/>
    </row>
    <row r="319" spans="3:6" s="3" customFormat="1">
      <c r="C319" s="39"/>
      <c r="D319" s="39"/>
      <c r="E319" s="55"/>
      <c r="F319" s="33"/>
    </row>
    <row r="320" spans="3:6" s="3" customFormat="1">
      <c r="C320" s="39"/>
      <c r="D320" s="39"/>
      <c r="E320" s="55"/>
      <c r="F320" s="33"/>
    </row>
    <row r="321" spans="3:6" s="3" customFormat="1">
      <c r="C321" s="39"/>
      <c r="D321" s="39"/>
      <c r="E321" s="55"/>
      <c r="F321" s="33"/>
    </row>
    <row r="322" spans="3:6" s="3" customFormat="1">
      <c r="C322" s="39"/>
      <c r="D322" s="39"/>
      <c r="E322" s="55"/>
      <c r="F322" s="33"/>
    </row>
    <row r="323" spans="3:6" s="3" customFormat="1">
      <c r="C323" s="39"/>
      <c r="D323" s="39"/>
      <c r="E323" s="55"/>
      <c r="F323" s="33"/>
    </row>
    <row r="324" spans="3:6" s="3" customFormat="1">
      <c r="C324" s="39"/>
      <c r="D324" s="39"/>
      <c r="E324" s="55"/>
      <c r="F324" s="33"/>
    </row>
    <row r="325" spans="3:6" s="3" customFormat="1">
      <c r="C325" s="39"/>
      <c r="D325" s="39"/>
      <c r="E325" s="55"/>
      <c r="F325" s="33"/>
    </row>
    <row r="326" spans="3:6" s="3" customFormat="1">
      <c r="C326" s="39"/>
      <c r="D326" s="39"/>
      <c r="E326" s="55"/>
      <c r="F326" s="33"/>
    </row>
    <row r="327" spans="3:6" s="3" customFormat="1">
      <c r="C327" s="39"/>
      <c r="D327" s="39"/>
      <c r="E327" s="55"/>
      <c r="F327" s="33"/>
    </row>
    <row r="328" spans="3:6" s="3" customFormat="1">
      <c r="C328" s="39"/>
      <c r="D328" s="39"/>
      <c r="E328" s="55"/>
      <c r="F328" s="33"/>
    </row>
    <row r="329" spans="3:6" s="3" customFormat="1">
      <c r="C329" s="39"/>
      <c r="D329" s="39"/>
      <c r="E329" s="55"/>
      <c r="F329" s="33"/>
    </row>
    <row r="330" spans="3:6" s="3" customFormat="1">
      <c r="C330" s="39"/>
      <c r="D330" s="39"/>
      <c r="E330" s="55"/>
      <c r="F330" s="33"/>
    </row>
    <row r="331" spans="3:6" s="3" customFormat="1">
      <c r="C331" s="39"/>
      <c r="D331" s="39"/>
      <c r="E331" s="55"/>
      <c r="F331" s="33"/>
    </row>
    <row r="332" spans="3:6" s="3" customFormat="1">
      <c r="C332" s="39"/>
      <c r="D332" s="39"/>
      <c r="E332" s="55"/>
      <c r="F332" s="33"/>
    </row>
    <row r="333" spans="3:6" s="3" customFormat="1">
      <c r="C333" s="39"/>
      <c r="D333" s="39"/>
      <c r="E333" s="55"/>
      <c r="F333" s="33"/>
    </row>
    <row r="334" spans="3:6" s="3" customFormat="1">
      <c r="C334" s="39"/>
      <c r="D334" s="39"/>
      <c r="E334" s="55"/>
      <c r="F334" s="33"/>
    </row>
    <row r="335" spans="3:6" s="3" customFormat="1">
      <c r="C335" s="39"/>
      <c r="D335" s="39"/>
      <c r="E335" s="55"/>
      <c r="F335" s="33"/>
    </row>
    <row r="336" spans="3:6" s="3" customFormat="1">
      <c r="C336" s="39"/>
      <c r="D336" s="39"/>
      <c r="E336" s="55"/>
      <c r="F336" s="33"/>
    </row>
    <row r="337" spans="3:6" s="3" customFormat="1">
      <c r="C337" s="39"/>
      <c r="D337" s="39"/>
      <c r="E337" s="55"/>
      <c r="F337" s="33"/>
    </row>
    <row r="338" spans="3:6" s="3" customFormat="1">
      <c r="C338" s="39"/>
      <c r="D338" s="39"/>
      <c r="E338" s="55"/>
      <c r="F338" s="33"/>
    </row>
    <row r="339" spans="3:6" s="3" customFormat="1">
      <c r="C339" s="39"/>
      <c r="D339" s="39"/>
      <c r="E339" s="55"/>
      <c r="F339" s="33"/>
    </row>
    <row r="340" spans="3:6" s="3" customFormat="1">
      <c r="C340" s="39"/>
      <c r="D340" s="39"/>
      <c r="E340" s="55"/>
      <c r="F340" s="33"/>
    </row>
    <row r="341" spans="3:6" s="3" customFormat="1">
      <c r="C341" s="39"/>
      <c r="D341" s="39"/>
      <c r="E341" s="55"/>
      <c r="F341" s="33"/>
    </row>
    <row r="342" spans="3:6" s="3" customFormat="1">
      <c r="C342" s="39"/>
      <c r="D342" s="39"/>
      <c r="E342" s="55"/>
      <c r="F342" s="33"/>
    </row>
    <row r="343" spans="3:6" s="3" customFormat="1">
      <c r="C343" s="39"/>
      <c r="D343" s="39"/>
      <c r="E343" s="55"/>
      <c r="F343" s="33"/>
    </row>
    <row r="344" spans="3:6" s="3" customFormat="1">
      <c r="C344" s="39"/>
      <c r="D344" s="39"/>
      <c r="E344" s="55"/>
      <c r="F344" s="33"/>
    </row>
    <row r="345" spans="3:6" s="3" customFormat="1">
      <c r="C345" s="39"/>
      <c r="D345" s="39"/>
      <c r="E345" s="55"/>
      <c r="F345" s="33"/>
    </row>
    <row r="346" spans="3:6" s="3" customFormat="1">
      <c r="C346" s="39"/>
      <c r="D346" s="39"/>
      <c r="E346" s="55"/>
      <c r="F346" s="33"/>
    </row>
    <row r="347" spans="3:6" s="3" customFormat="1">
      <c r="C347" s="39"/>
      <c r="D347" s="39"/>
      <c r="E347" s="55"/>
      <c r="F347" s="33"/>
    </row>
    <row r="348" spans="3:6" s="3" customFormat="1">
      <c r="C348" s="39"/>
      <c r="D348" s="39"/>
      <c r="E348" s="55"/>
      <c r="F348" s="33"/>
    </row>
    <row r="349" spans="3:6" s="3" customFormat="1">
      <c r="C349" s="39"/>
      <c r="D349" s="39"/>
      <c r="E349" s="55"/>
      <c r="F349" s="33"/>
    </row>
    <row r="350" spans="3:6" s="3" customFormat="1">
      <c r="C350" s="39"/>
      <c r="D350" s="39"/>
      <c r="E350" s="55"/>
      <c r="F350" s="33"/>
    </row>
    <row r="351" spans="3:6" s="3" customFormat="1">
      <c r="C351" s="39"/>
      <c r="D351" s="39"/>
      <c r="E351" s="55"/>
      <c r="F351" s="33"/>
    </row>
    <row r="352" spans="3:6" s="3" customFormat="1">
      <c r="C352" s="39"/>
      <c r="D352" s="39"/>
      <c r="E352" s="55"/>
      <c r="F352" s="33"/>
    </row>
    <row r="353" spans="3:6" s="3" customFormat="1">
      <c r="C353" s="39"/>
      <c r="D353" s="39"/>
      <c r="E353" s="55"/>
      <c r="F353" s="33"/>
    </row>
    <row r="354" spans="3:6" s="3" customFormat="1">
      <c r="C354" s="39"/>
      <c r="D354" s="39"/>
      <c r="E354" s="55"/>
      <c r="F354" s="33"/>
    </row>
    <row r="355" spans="3:6" s="3" customFormat="1">
      <c r="C355" s="39"/>
      <c r="D355" s="39"/>
      <c r="E355" s="55"/>
      <c r="F355" s="33"/>
    </row>
    <row r="356" spans="3:6" s="3" customFormat="1">
      <c r="C356" s="39"/>
      <c r="D356" s="39"/>
      <c r="E356" s="55"/>
      <c r="F356" s="33"/>
    </row>
    <row r="357" spans="3:6" s="3" customFormat="1">
      <c r="C357" s="39"/>
      <c r="D357" s="39"/>
      <c r="E357" s="55"/>
      <c r="F357" s="33"/>
    </row>
    <row r="358" spans="3:6" s="3" customFormat="1">
      <c r="C358" s="39"/>
      <c r="D358" s="39"/>
      <c r="E358" s="55"/>
      <c r="F358" s="33"/>
    </row>
    <row r="359" spans="3:6" s="3" customFormat="1">
      <c r="C359" s="39"/>
      <c r="D359" s="39"/>
      <c r="E359" s="55"/>
      <c r="F359" s="33"/>
    </row>
    <row r="360" spans="3:6" s="3" customFormat="1">
      <c r="C360" s="39"/>
      <c r="D360" s="39"/>
      <c r="E360" s="55"/>
      <c r="F360" s="33"/>
    </row>
    <row r="361" spans="3:6" s="3" customFormat="1">
      <c r="C361" s="39"/>
      <c r="D361" s="39"/>
      <c r="E361" s="55"/>
      <c r="F361" s="33"/>
    </row>
    <row r="362" spans="3:6" s="3" customFormat="1">
      <c r="C362" s="39"/>
      <c r="D362" s="39"/>
      <c r="E362" s="55"/>
      <c r="F362" s="33"/>
    </row>
    <row r="363" spans="3:6" s="3" customFormat="1">
      <c r="C363" s="39"/>
      <c r="D363" s="39"/>
      <c r="E363" s="55"/>
      <c r="F363" s="33"/>
    </row>
    <row r="364" spans="3:6" s="3" customFormat="1">
      <c r="C364" s="39"/>
      <c r="D364" s="39"/>
      <c r="E364" s="55"/>
      <c r="F364" s="33"/>
    </row>
    <row r="365" spans="3:6" s="3" customFormat="1">
      <c r="C365" s="39"/>
      <c r="D365" s="39"/>
      <c r="E365" s="55"/>
      <c r="F365" s="33"/>
    </row>
    <row r="366" spans="3:6" s="3" customFormat="1">
      <c r="C366" s="39"/>
      <c r="D366" s="39"/>
      <c r="E366" s="55"/>
      <c r="F366" s="33"/>
    </row>
    <row r="367" spans="3:6" s="3" customFormat="1">
      <c r="C367" s="39"/>
      <c r="D367" s="39"/>
      <c r="E367" s="55"/>
      <c r="F367" s="33"/>
    </row>
    <row r="368" spans="3:6" s="3" customFormat="1">
      <c r="C368" s="39"/>
      <c r="D368" s="39"/>
      <c r="E368" s="55"/>
      <c r="F368" s="33"/>
    </row>
    <row r="369" spans="3:6" s="3" customFormat="1">
      <c r="C369" s="39"/>
      <c r="D369" s="39"/>
      <c r="E369" s="55"/>
      <c r="F369" s="33"/>
    </row>
    <row r="370" spans="3:6" s="3" customFormat="1">
      <c r="C370" s="39"/>
      <c r="D370" s="39"/>
      <c r="E370" s="55"/>
      <c r="F370" s="33"/>
    </row>
    <row r="371" spans="3:6" s="3" customFormat="1">
      <c r="C371" s="39"/>
      <c r="D371" s="39"/>
      <c r="E371" s="55"/>
      <c r="F371" s="33"/>
    </row>
    <row r="372" spans="3:6" s="3" customFormat="1">
      <c r="C372" s="39"/>
      <c r="D372" s="39"/>
      <c r="E372" s="55"/>
      <c r="F372" s="33"/>
    </row>
    <row r="373" spans="3:6" s="3" customFormat="1">
      <c r="C373" s="39"/>
      <c r="D373" s="39"/>
      <c r="E373" s="55"/>
      <c r="F373" s="33"/>
    </row>
    <row r="374" spans="3:6" s="3" customFormat="1">
      <c r="C374" s="39"/>
      <c r="D374" s="39"/>
      <c r="E374" s="55"/>
      <c r="F374" s="33"/>
    </row>
    <row r="375" spans="3:6" s="3" customFormat="1">
      <c r="C375" s="39"/>
      <c r="D375" s="39"/>
      <c r="E375" s="55"/>
      <c r="F375" s="33"/>
    </row>
    <row r="376" spans="3:6" s="3" customFormat="1">
      <c r="C376" s="39"/>
      <c r="D376" s="39"/>
      <c r="E376" s="55"/>
      <c r="F376" s="33"/>
    </row>
    <row r="377" spans="3:6" s="3" customFormat="1">
      <c r="C377" s="39"/>
      <c r="D377" s="39"/>
      <c r="E377" s="55"/>
      <c r="F377" s="33"/>
    </row>
    <row r="378" spans="3:6" s="3" customFormat="1">
      <c r="C378" s="39"/>
      <c r="D378" s="39"/>
      <c r="E378" s="55"/>
      <c r="F378" s="33"/>
    </row>
    <row r="379" spans="3:6" s="3" customFormat="1">
      <c r="C379" s="39"/>
      <c r="D379" s="39"/>
      <c r="E379" s="55"/>
      <c r="F379" s="33"/>
    </row>
    <row r="380" spans="3:6" s="3" customFormat="1">
      <c r="C380" s="39"/>
      <c r="D380" s="39"/>
      <c r="E380" s="55"/>
      <c r="F380" s="33"/>
    </row>
    <row r="381" spans="3:6" s="3" customFormat="1">
      <c r="C381" s="39"/>
      <c r="D381" s="39"/>
      <c r="E381" s="55"/>
      <c r="F381" s="33"/>
    </row>
    <row r="382" spans="3:6" s="3" customFormat="1">
      <c r="C382" s="39"/>
      <c r="D382" s="39"/>
      <c r="E382" s="55"/>
      <c r="F382" s="33"/>
    </row>
    <row r="383" spans="3:6" s="3" customFormat="1">
      <c r="C383" s="39"/>
      <c r="D383" s="39"/>
      <c r="E383" s="55"/>
      <c r="F383" s="33"/>
    </row>
    <row r="384" spans="3:6" s="3" customFormat="1">
      <c r="C384" s="39"/>
      <c r="D384" s="39"/>
      <c r="E384" s="55"/>
      <c r="F384" s="33"/>
    </row>
    <row r="385" spans="3:6" s="3" customFormat="1">
      <c r="C385" s="39"/>
      <c r="D385" s="39"/>
      <c r="E385" s="55"/>
      <c r="F385" s="33"/>
    </row>
    <row r="386" spans="3:6" s="3" customFormat="1">
      <c r="C386" s="39"/>
      <c r="D386" s="39"/>
      <c r="E386" s="55"/>
      <c r="F386" s="33"/>
    </row>
    <row r="387" spans="3:6" s="3" customFormat="1">
      <c r="C387" s="39"/>
      <c r="D387" s="39"/>
      <c r="E387" s="55"/>
      <c r="F387" s="33"/>
    </row>
    <row r="388" spans="3:6" s="3" customFormat="1">
      <c r="C388" s="39"/>
      <c r="D388" s="39"/>
      <c r="E388" s="55"/>
      <c r="F388" s="33"/>
    </row>
    <row r="389" spans="3:6" s="3" customFormat="1">
      <c r="C389" s="39"/>
      <c r="D389" s="39"/>
      <c r="E389" s="55"/>
      <c r="F389" s="33"/>
    </row>
    <row r="390" spans="3:6" s="3" customFormat="1">
      <c r="C390" s="39"/>
      <c r="D390" s="39"/>
      <c r="E390" s="55"/>
      <c r="F390" s="33"/>
    </row>
    <row r="391" spans="3:6" s="3" customFormat="1">
      <c r="C391" s="39"/>
      <c r="D391" s="39"/>
      <c r="E391" s="55"/>
      <c r="F391" s="33"/>
    </row>
    <row r="392" spans="3:6" s="3" customFormat="1">
      <c r="C392" s="39"/>
      <c r="D392" s="39"/>
      <c r="E392" s="55"/>
      <c r="F392" s="33"/>
    </row>
    <row r="393" spans="3:6" s="3" customFormat="1">
      <c r="C393" s="39"/>
      <c r="D393" s="39"/>
      <c r="E393" s="55"/>
      <c r="F393" s="33"/>
    </row>
    <row r="394" spans="3:6" s="3" customFormat="1">
      <c r="C394" s="39"/>
      <c r="D394" s="39"/>
      <c r="E394" s="55"/>
      <c r="F394" s="33"/>
    </row>
    <row r="395" spans="3:6" s="3" customFormat="1">
      <c r="C395" s="39"/>
      <c r="D395" s="39"/>
      <c r="E395" s="55"/>
      <c r="F395" s="33"/>
    </row>
    <row r="396" spans="3:6" s="3" customFormat="1">
      <c r="C396" s="39"/>
      <c r="D396" s="39"/>
      <c r="E396" s="55"/>
      <c r="F396" s="33"/>
    </row>
    <row r="397" spans="3:6" s="3" customFormat="1">
      <c r="C397" s="39"/>
      <c r="D397" s="39"/>
      <c r="E397" s="55"/>
      <c r="F397" s="33"/>
    </row>
    <row r="398" spans="3:6" s="3" customFormat="1">
      <c r="C398" s="39"/>
      <c r="D398" s="39"/>
      <c r="E398" s="55"/>
      <c r="F398" s="33"/>
    </row>
    <row r="399" spans="3:6" s="3" customFormat="1">
      <c r="C399" s="39"/>
      <c r="D399" s="39"/>
      <c r="E399" s="55"/>
      <c r="F399" s="33"/>
    </row>
    <row r="400" spans="3:6" s="3" customFormat="1">
      <c r="C400" s="39"/>
      <c r="D400" s="39"/>
      <c r="E400" s="55"/>
      <c r="F400" s="33"/>
    </row>
    <row r="401" spans="3:6" s="3" customFormat="1">
      <c r="C401" s="39"/>
      <c r="D401" s="39"/>
      <c r="E401" s="55"/>
      <c r="F401" s="33"/>
    </row>
    <row r="402" spans="3:6" s="3" customFormat="1">
      <c r="C402" s="39"/>
      <c r="D402" s="39"/>
      <c r="E402" s="55"/>
      <c r="F402" s="33"/>
    </row>
    <row r="403" spans="3:6" s="3" customFormat="1">
      <c r="C403" s="39"/>
      <c r="D403" s="39"/>
      <c r="E403" s="55"/>
      <c r="F403" s="33"/>
    </row>
    <row r="404" spans="3:6" s="3" customFormat="1">
      <c r="C404" s="39"/>
      <c r="D404" s="39"/>
      <c r="E404" s="55"/>
      <c r="F404" s="33"/>
    </row>
    <row r="405" spans="3:6" s="3" customFormat="1">
      <c r="C405" s="39"/>
      <c r="D405" s="39"/>
      <c r="E405" s="55"/>
      <c r="F405" s="33"/>
    </row>
    <row r="406" spans="3:6" s="3" customFormat="1">
      <c r="C406" s="39"/>
      <c r="D406" s="39"/>
      <c r="E406" s="55"/>
      <c r="F406" s="33"/>
    </row>
    <row r="407" spans="3:6" s="3" customFormat="1">
      <c r="C407" s="39"/>
      <c r="D407" s="39"/>
      <c r="E407" s="55"/>
      <c r="F407" s="33"/>
    </row>
    <row r="408" spans="3:6" s="3" customFormat="1">
      <c r="C408" s="39"/>
      <c r="D408" s="39"/>
      <c r="E408" s="55"/>
      <c r="F408" s="33"/>
    </row>
    <row r="409" spans="3:6" s="3" customFormat="1">
      <c r="C409" s="39"/>
      <c r="D409" s="39"/>
      <c r="E409" s="55"/>
      <c r="F409" s="33"/>
    </row>
    <row r="410" spans="3:6" s="3" customFormat="1">
      <c r="C410" s="39"/>
      <c r="D410" s="39"/>
      <c r="E410" s="55"/>
      <c r="F410" s="33"/>
    </row>
    <row r="411" spans="3:6" s="3" customFormat="1">
      <c r="C411" s="39"/>
      <c r="D411" s="39"/>
      <c r="E411" s="55"/>
      <c r="F411" s="33"/>
    </row>
    <row r="412" spans="3:6" s="3" customFormat="1">
      <c r="C412" s="39"/>
      <c r="D412" s="39"/>
      <c r="E412" s="55"/>
      <c r="F412" s="33"/>
    </row>
    <row r="413" spans="3:6" s="3" customFormat="1">
      <c r="C413" s="39"/>
      <c r="D413" s="39"/>
      <c r="E413" s="55"/>
      <c r="F413" s="33"/>
    </row>
    <row r="414" spans="3:6" s="3" customFormat="1">
      <c r="C414" s="39"/>
      <c r="D414" s="39"/>
      <c r="E414" s="55"/>
      <c r="F414" s="33"/>
    </row>
    <row r="415" spans="3:6" s="3" customFormat="1">
      <c r="C415" s="39"/>
      <c r="D415" s="39"/>
      <c r="E415" s="55"/>
      <c r="F415" s="33"/>
    </row>
    <row r="416" spans="3:6" s="3" customFormat="1">
      <c r="C416" s="39"/>
      <c r="D416" s="39"/>
      <c r="E416" s="55"/>
      <c r="F416" s="33"/>
    </row>
    <row r="417" spans="3:6" s="3" customFormat="1">
      <c r="C417" s="39"/>
      <c r="D417" s="39"/>
      <c r="E417" s="55"/>
      <c r="F417" s="33"/>
    </row>
    <row r="418" spans="3:6" s="3" customFormat="1">
      <c r="C418" s="39"/>
      <c r="D418" s="39"/>
      <c r="E418" s="55"/>
      <c r="F418" s="33"/>
    </row>
    <row r="419" spans="3:6" s="3" customFormat="1">
      <c r="C419" s="39"/>
      <c r="D419" s="39"/>
      <c r="E419" s="55"/>
      <c r="F419" s="33"/>
    </row>
    <row r="420" spans="3:6" s="3" customFormat="1">
      <c r="C420" s="39"/>
      <c r="D420" s="39"/>
      <c r="E420" s="55"/>
      <c r="F420" s="33"/>
    </row>
    <row r="421" spans="3:6" s="3" customFormat="1">
      <c r="C421" s="39"/>
      <c r="D421" s="39"/>
      <c r="E421" s="55"/>
      <c r="F421" s="33"/>
    </row>
    <row r="422" spans="3:6" s="3" customFormat="1">
      <c r="C422" s="39"/>
      <c r="D422" s="39"/>
      <c r="E422" s="55"/>
      <c r="F422" s="33"/>
    </row>
    <row r="423" spans="3:6" s="3" customFormat="1">
      <c r="C423" s="39"/>
      <c r="D423" s="39"/>
      <c r="E423" s="55"/>
      <c r="F423" s="33"/>
    </row>
    <row r="424" spans="3:6" s="3" customFormat="1">
      <c r="C424" s="39"/>
      <c r="D424" s="39"/>
      <c r="E424" s="55"/>
      <c r="F424" s="33"/>
    </row>
    <row r="425" spans="3:6" s="3" customFormat="1">
      <c r="C425" s="39"/>
      <c r="D425" s="39"/>
      <c r="E425" s="55"/>
      <c r="F425" s="33"/>
    </row>
    <row r="426" spans="3:6" s="3" customFormat="1">
      <c r="C426" s="39"/>
      <c r="D426" s="39"/>
      <c r="E426" s="55"/>
      <c r="F426" s="33"/>
    </row>
    <row r="427" spans="3:6" s="3" customFormat="1">
      <c r="C427" s="39"/>
      <c r="D427" s="39"/>
      <c r="E427" s="55"/>
      <c r="F427" s="33"/>
    </row>
    <row r="428" spans="3:6" s="3" customFormat="1">
      <c r="C428" s="39"/>
      <c r="D428" s="39"/>
      <c r="E428" s="55"/>
      <c r="F428" s="33"/>
    </row>
    <row r="429" spans="3:6" s="3" customFormat="1">
      <c r="C429" s="39"/>
      <c r="D429" s="39"/>
      <c r="E429" s="55"/>
      <c r="F429" s="33"/>
    </row>
    <row r="430" spans="3:6" s="3" customFormat="1">
      <c r="C430" s="39"/>
      <c r="D430" s="39"/>
      <c r="E430" s="55"/>
      <c r="F430" s="33"/>
    </row>
    <row r="431" spans="3:6" s="3" customFormat="1">
      <c r="C431" s="39"/>
      <c r="D431" s="39"/>
      <c r="E431" s="55"/>
      <c r="F431" s="33"/>
    </row>
    <row r="432" spans="3:6" s="3" customFormat="1">
      <c r="C432" s="39"/>
      <c r="D432" s="39"/>
      <c r="E432" s="55"/>
      <c r="F432" s="33"/>
    </row>
    <row r="433" spans="3:6" s="3" customFormat="1">
      <c r="C433" s="39"/>
      <c r="D433" s="39"/>
      <c r="E433" s="55"/>
      <c r="F433" s="33"/>
    </row>
    <row r="434" spans="3:6" s="3" customFormat="1">
      <c r="C434" s="39"/>
      <c r="D434" s="39"/>
      <c r="E434" s="55"/>
      <c r="F434" s="33"/>
    </row>
    <row r="435" spans="3:6" s="3" customFormat="1">
      <c r="C435" s="39"/>
      <c r="D435" s="39"/>
      <c r="E435" s="55"/>
      <c r="F435" s="33"/>
    </row>
    <row r="436" spans="3:6" s="3" customFormat="1">
      <c r="C436" s="39"/>
      <c r="D436" s="39"/>
      <c r="E436" s="55"/>
      <c r="F436" s="33"/>
    </row>
    <row r="437" spans="3:6" s="3" customFormat="1">
      <c r="C437" s="39"/>
      <c r="D437" s="39"/>
      <c r="E437" s="55"/>
      <c r="F437" s="33"/>
    </row>
    <row r="438" spans="3:6" s="3" customFormat="1">
      <c r="C438" s="39"/>
      <c r="D438" s="39"/>
      <c r="E438" s="55"/>
      <c r="F438" s="33"/>
    </row>
    <row r="439" spans="3:6" s="3" customFormat="1">
      <c r="C439" s="39"/>
      <c r="D439" s="39"/>
      <c r="E439" s="55"/>
      <c r="F439" s="33"/>
    </row>
    <row r="440" spans="3:6" s="3" customFormat="1">
      <c r="C440" s="39"/>
      <c r="D440" s="39"/>
      <c r="E440" s="55"/>
      <c r="F440" s="33"/>
    </row>
    <row r="441" spans="3:6" s="3" customFormat="1">
      <c r="C441" s="39"/>
      <c r="D441" s="39"/>
      <c r="E441" s="55"/>
      <c r="F441" s="33"/>
    </row>
    <row r="442" spans="3:6" s="3" customFormat="1">
      <c r="C442" s="39"/>
      <c r="D442" s="39"/>
      <c r="E442" s="55"/>
      <c r="F442" s="33"/>
    </row>
    <row r="443" spans="3:6" s="3" customFormat="1">
      <c r="C443" s="39"/>
      <c r="D443" s="39"/>
      <c r="E443" s="55"/>
      <c r="F443" s="33"/>
    </row>
    <row r="444" spans="3:6" s="3" customFormat="1">
      <c r="C444" s="39"/>
      <c r="D444" s="39"/>
      <c r="E444" s="55"/>
      <c r="F444" s="33"/>
    </row>
    <row r="445" spans="3:6" s="3" customFormat="1">
      <c r="C445" s="39"/>
      <c r="D445" s="39"/>
      <c r="E445" s="55"/>
      <c r="F445" s="33"/>
    </row>
    <row r="446" spans="3:6" s="3" customFormat="1">
      <c r="C446" s="39"/>
      <c r="D446" s="39"/>
      <c r="E446" s="55"/>
      <c r="F446" s="33"/>
    </row>
    <row r="447" spans="3:6" s="3" customFormat="1">
      <c r="C447" s="39"/>
      <c r="D447" s="39"/>
      <c r="E447" s="55"/>
      <c r="F447" s="33"/>
    </row>
    <row r="448" spans="3:6" s="3" customFormat="1">
      <c r="C448" s="39"/>
      <c r="D448" s="39"/>
      <c r="E448" s="55"/>
      <c r="F448" s="33"/>
    </row>
    <row r="449" spans="3:6" s="3" customFormat="1">
      <c r="C449" s="39"/>
      <c r="D449" s="39"/>
      <c r="E449" s="55"/>
      <c r="F449" s="33"/>
    </row>
    <row r="450" spans="3:6" s="3" customFormat="1">
      <c r="C450" s="39"/>
      <c r="D450" s="39"/>
      <c r="E450" s="55"/>
      <c r="F450" s="33"/>
    </row>
    <row r="451" spans="3:6" s="3" customFormat="1">
      <c r="C451" s="39"/>
      <c r="D451" s="39"/>
      <c r="E451" s="55"/>
      <c r="F451" s="33"/>
    </row>
    <row r="452" spans="3:6" s="3" customFormat="1">
      <c r="C452" s="39"/>
      <c r="D452" s="39"/>
      <c r="E452" s="55"/>
      <c r="F452" s="33"/>
    </row>
    <row r="453" spans="3:6" s="3" customFormat="1">
      <c r="C453" s="39"/>
      <c r="D453" s="39"/>
      <c r="E453" s="55"/>
      <c r="F453" s="33"/>
    </row>
    <row r="454" spans="3:6" s="3" customFormat="1">
      <c r="C454" s="39"/>
      <c r="D454" s="39"/>
      <c r="E454" s="55"/>
      <c r="F454" s="33"/>
    </row>
    <row r="455" spans="3:6" s="3" customFormat="1">
      <c r="C455" s="39"/>
      <c r="D455" s="39"/>
      <c r="E455" s="55"/>
      <c r="F455" s="33"/>
    </row>
    <row r="456" spans="3:6" s="3" customFormat="1">
      <c r="C456" s="39"/>
      <c r="D456" s="39"/>
      <c r="E456" s="55"/>
      <c r="F456" s="33"/>
    </row>
    <row r="457" spans="3:6" s="3" customFormat="1">
      <c r="C457" s="39"/>
      <c r="D457" s="39"/>
      <c r="E457" s="55"/>
      <c r="F457" s="33"/>
    </row>
    <row r="458" spans="3:6" s="3" customFormat="1">
      <c r="C458" s="39"/>
      <c r="D458" s="39"/>
      <c r="E458" s="55"/>
      <c r="F458" s="33"/>
    </row>
    <row r="459" spans="3:6" s="3" customFormat="1">
      <c r="C459" s="39"/>
      <c r="D459" s="39"/>
      <c r="E459" s="55"/>
      <c r="F459" s="33"/>
    </row>
    <row r="460" spans="3:6" s="3" customFormat="1">
      <c r="C460" s="39"/>
      <c r="D460" s="39"/>
      <c r="E460" s="55"/>
      <c r="F460" s="33"/>
    </row>
    <row r="461" spans="3:6" s="3" customFormat="1">
      <c r="C461" s="39"/>
      <c r="D461" s="39"/>
      <c r="E461" s="55"/>
      <c r="F461" s="33"/>
    </row>
    <row r="462" spans="3:6" s="3" customFormat="1">
      <c r="C462" s="39"/>
      <c r="D462" s="39"/>
      <c r="E462" s="55"/>
      <c r="F462" s="33"/>
    </row>
    <row r="463" spans="3:6" s="3" customFormat="1">
      <c r="C463" s="39"/>
      <c r="D463" s="39"/>
      <c r="E463" s="55"/>
      <c r="F463" s="33"/>
    </row>
    <row r="464" spans="3:6" s="3" customFormat="1">
      <c r="C464" s="39"/>
      <c r="D464" s="39"/>
      <c r="E464" s="55"/>
      <c r="F464" s="33"/>
    </row>
    <row r="465" spans="3:6" s="3" customFormat="1">
      <c r="C465" s="39"/>
      <c r="D465" s="39"/>
      <c r="E465" s="55"/>
      <c r="F465" s="33"/>
    </row>
    <row r="466" spans="3:6" s="3" customFormat="1">
      <c r="C466" s="39"/>
      <c r="D466" s="39"/>
      <c r="E466" s="55"/>
      <c r="F466" s="33"/>
    </row>
    <row r="467" spans="3:6" s="3" customFormat="1">
      <c r="C467" s="39"/>
      <c r="D467" s="39"/>
      <c r="E467" s="55"/>
      <c r="F467" s="33"/>
    </row>
    <row r="468" spans="3:6" s="3" customFormat="1">
      <c r="C468" s="39"/>
      <c r="D468" s="39"/>
      <c r="E468" s="55"/>
      <c r="F468" s="33"/>
    </row>
    <row r="469" spans="3:6" s="3" customFormat="1">
      <c r="C469" s="39"/>
      <c r="D469" s="39"/>
      <c r="E469" s="55"/>
      <c r="F469" s="33"/>
    </row>
    <row r="470" spans="3:6" s="3" customFormat="1">
      <c r="C470" s="39"/>
      <c r="D470" s="39"/>
      <c r="E470" s="55"/>
      <c r="F470" s="33"/>
    </row>
    <row r="471" spans="3:6" s="3" customFormat="1">
      <c r="C471" s="39"/>
      <c r="D471" s="39"/>
      <c r="E471" s="55"/>
      <c r="F471" s="33"/>
    </row>
    <row r="472" spans="3:6" s="3" customFormat="1">
      <c r="C472" s="39"/>
      <c r="D472" s="39"/>
      <c r="E472" s="55"/>
      <c r="F472" s="33"/>
    </row>
    <row r="473" spans="3:6" s="3" customFormat="1">
      <c r="C473" s="39"/>
      <c r="D473" s="39"/>
      <c r="E473" s="55"/>
      <c r="F473" s="33"/>
    </row>
    <row r="474" spans="3:6" s="3" customFormat="1">
      <c r="C474" s="39"/>
      <c r="D474" s="39"/>
      <c r="E474" s="55"/>
      <c r="F474" s="33"/>
    </row>
    <row r="475" spans="3:6" s="3" customFormat="1">
      <c r="C475" s="39"/>
      <c r="D475" s="39"/>
      <c r="E475" s="55"/>
      <c r="F475" s="33"/>
    </row>
    <row r="476" spans="3:6" s="3" customFormat="1">
      <c r="C476" s="39"/>
      <c r="D476" s="39"/>
      <c r="E476" s="55"/>
      <c r="F476" s="33"/>
    </row>
    <row r="477" spans="3:6" s="3" customFormat="1">
      <c r="C477" s="39"/>
      <c r="D477" s="39"/>
      <c r="E477" s="55"/>
      <c r="F477" s="33"/>
    </row>
    <row r="478" spans="3:6" s="3" customFormat="1">
      <c r="C478" s="39"/>
      <c r="D478" s="39"/>
      <c r="E478" s="55"/>
      <c r="F478" s="33"/>
    </row>
    <row r="479" spans="3:6" s="3" customFormat="1">
      <c r="C479" s="39"/>
      <c r="D479" s="39"/>
      <c r="E479" s="55"/>
      <c r="F479" s="33"/>
    </row>
    <row r="480" spans="3:6" s="3" customFormat="1">
      <c r="C480" s="39"/>
      <c r="D480" s="39"/>
      <c r="E480" s="55"/>
      <c r="F480" s="33"/>
    </row>
    <row r="481" spans="3:6" s="3" customFormat="1">
      <c r="C481" s="39"/>
      <c r="D481" s="39"/>
      <c r="E481" s="55"/>
      <c r="F481" s="33"/>
    </row>
    <row r="482" spans="3:6" s="3" customFormat="1">
      <c r="C482" s="39"/>
      <c r="D482" s="39"/>
      <c r="E482" s="55"/>
      <c r="F482" s="33"/>
    </row>
    <row r="483" spans="3:6" s="3" customFormat="1">
      <c r="C483" s="39"/>
      <c r="D483" s="39"/>
      <c r="E483" s="55"/>
      <c r="F483" s="33"/>
    </row>
    <row r="484" spans="3:6" s="3" customFormat="1">
      <c r="C484" s="39"/>
      <c r="D484" s="39"/>
      <c r="E484" s="55"/>
      <c r="F484" s="33"/>
    </row>
    <row r="485" spans="3:6" s="3" customFormat="1">
      <c r="C485" s="39"/>
      <c r="D485" s="39"/>
      <c r="E485" s="55"/>
      <c r="F485" s="33"/>
    </row>
    <row r="486" spans="3:6" s="3" customFormat="1">
      <c r="C486" s="39"/>
      <c r="D486" s="39"/>
      <c r="E486" s="55"/>
      <c r="F486" s="33"/>
    </row>
    <row r="487" spans="3:6" s="3" customFormat="1">
      <c r="C487" s="39"/>
      <c r="D487" s="39"/>
      <c r="E487" s="55"/>
      <c r="F487" s="33"/>
    </row>
    <row r="488" spans="3:6" s="3" customFormat="1">
      <c r="C488" s="39"/>
      <c r="D488" s="39"/>
      <c r="E488" s="55"/>
      <c r="F488" s="33"/>
    </row>
    <row r="489" spans="3:6" s="3" customFormat="1">
      <c r="C489" s="39"/>
      <c r="D489" s="39"/>
      <c r="E489" s="55"/>
      <c r="F489" s="33"/>
    </row>
    <row r="490" spans="3:6" s="3" customFormat="1">
      <c r="C490" s="39"/>
      <c r="D490" s="39"/>
      <c r="E490" s="55"/>
      <c r="F490" s="33"/>
    </row>
    <row r="491" spans="3:6" s="3" customFormat="1">
      <c r="C491" s="39"/>
      <c r="D491" s="39"/>
      <c r="E491" s="55"/>
      <c r="F491" s="33"/>
    </row>
    <row r="492" spans="3:6" s="3" customFormat="1">
      <c r="C492" s="39"/>
      <c r="D492" s="39"/>
      <c r="E492" s="55"/>
      <c r="F492" s="33"/>
    </row>
    <row r="493" spans="3:6" s="3" customFormat="1">
      <c r="C493" s="39"/>
      <c r="D493" s="39"/>
      <c r="E493" s="55"/>
      <c r="F493" s="33"/>
    </row>
    <row r="494" spans="3:6" s="3" customFormat="1">
      <c r="C494" s="39"/>
      <c r="D494" s="39"/>
      <c r="E494" s="55"/>
      <c r="F494" s="33"/>
    </row>
    <row r="495" spans="3:6" s="3" customFormat="1">
      <c r="C495" s="39"/>
      <c r="D495" s="39"/>
      <c r="E495" s="55"/>
      <c r="F495" s="33"/>
    </row>
    <row r="496" spans="3:6" s="3" customFormat="1">
      <c r="C496" s="39"/>
      <c r="D496" s="39"/>
      <c r="E496" s="55"/>
      <c r="F496" s="33"/>
    </row>
    <row r="497" spans="3:6" s="3" customFormat="1">
      <c r="C497" s="39"/>
      <c r="D497" s="39"/>
      <c r="E497" s="55"/>
      <c r="F497" s="33"/>
    </row>
    <row r="498" spans="3:6" s="3" customFormat="1">
      <c r="C498" s="39"/>
      <c r="D498" s="39"/>
      <c r="E498" s="55"/>
      <c r="F498" s="33"/>
    </row>
    <row r="499" spans="3:6" s="3" customFormat="1">
      <c r="C499" s="39"/>
      <c r="D499" s="39"/>
      <c r="E499" s="55"/>
      <c r="F499" s="33"/>
    </row>
    <row r="500" spans="3:6" s="3" customFormat="1">
      <c r="C500" s="39"/>
      <c r="D500" s="39"/>
      <c r="E500" s="55"/>
      <c r="F500" s="33"/>
    </row>
    <row r="501" spans="3:6" s="3" customFormat="1">
      <c r="C501" s="39"/>
      <c r="D501" s="39"/>
      <c r="E501" s="55"/>
      <c r="F501" s="33"/>
    </row>
    <row r="502" spans="3:6" s="3" customFormat="1">
      <c r="C502" s="39"/>
      <c r="D502" s="39"/>
      <c r="E502" s="55"/>
      <c r="F502" s="33"/>
    </row>
    <row r="503" spans="3:6" s="3" customFormat="1">
      <c r="C503" s="39"/>
      <c r="D503" s="39"/>
      <c r="E503" s="55"/>
      <c r="F503" s="33"/>
    </row>
    <row r="504" spans="3:6" s="3" customFormat="1">
      <c r="C504" s="39"/>
      <c r="D504" s="39"/>
      <c r="E504" s="55"/>
      <c r="F504" s="33"/>
    </row>
    <row r="505" spans="3:6" s="3" customFormat="1">
      <c r="C505" s="39"/>
      <c r="D505" s="39"/>
      <c r="E505" s="55"/>
      <c r="F505" s="33"/>
    </row>
    <row r="506" spans="3:6" s="3" customFormat="1">
      <c r="C506" s="39"/>
      <c r="D506" s="39"/>
      <c r="E506" s="55"/>
      <c r="F506" s="33"/>
    </row>
    <row r="507" spans="3:6" s="3" customFormat="1">
      <c r="C507" s="39"/>
      <c r="D507" s="39"/>
      <c r="E507" s="55"/>
      <c r="F507" s="33"/>
    </row>
    <row r="508" spans="3:6" s="3" customFormat="1">
      <c r="C508" s="39"/>
      <c r="D508" s="39"/>
      <c r="E508" s="55"/>
      <c r="F508" s="33"/>
    </row>
    <row r="509" spans="3:6" s="3" customFormat="1">
      <c r="C509" s="39"/>
      <c r="D509" s="39"/>
      <c r="E509" s="55"/>
      <c r="F509" s="33"/>
    </row>
    <row r="510" spans="3:6" s="3" customFormat="1">
      <c r="C510" s="39"/>
      <c r="D510" s="39"/>
      <c r="E510" s="55"/>
      <c r="F510" s="33"/>
    </row>
    <row r="511" spans="3:6" s="3" customFormat="1">
      <c r="C511" s="39"/>
      <c r="D511" s="39"/>
      <c r="E511" s="55"/>
      <c r="F511" s="33"/>
    </row>
    <row r="512" spans="3:6" s="3" customFormat="1">
      <c r="C512" s="39"/>
      <c r="D512" s="39"/>
      <c r="E512" s="55"/>
      <c r="F512" s="33"/>
    </row>
    <row r="513" spans="3:6" s="3" customFormat="1">
      <c r="C513" s="39"/>
      <c r="D513" s="39"/>
      <c r="E513" s="55"/>
      <c r="F513" s="33"/>
    </row>
    <row r="514" spans="3:6" s="3" customFormat="1">
      <c r="C514" s="39"/>
      <c r="D514" s="39"/>
      <c r="E514" s="55"/>
      <c r="F514" s="33"/>
    </row>
    <row r="515" spans="3:6" s="3" customFormat="1">
      <c r="C515" s="39"/>
      <c r="D515" s="39"/>
      <c r="E515" s="55"/>
      <c r="F515" s="33"/>
    </row>
    <row r="516" spans="3:6" s="3" customFormat="1">
      <c r="C516" s="39"/>
      <c r="D516" s="39"/>
      <c r="E516" s="55"/>
      <c r="F516" s="33"/>
    </row>
    <row r="517" spans="3:6" s="3" customFormat="1">
      <c r="C517" s="39"/>
      <c r="D517" s="39"/>
      <c r="E517" s="55"/>
      <c r="F517" s="33"/>
    </row>
    <row r="518" spans="3:6" s="3" customFormat="1">
      <c r="C518" s="39"/>
      <c r="D518" s="39"/>
      <c r="E518" s="55"/>
      <c r="F518" s="33"/>
    </row>
    <row r="519" spans="3:6" s="3" customFormat="1">
      <c r="C519" s="39"/>
      <c r="D519" s="39"/>
      <c r="E519" s="55"/>
      <c r="F519" s="33"/>
    </row>
    <row r="520" spans="3:6" s="3" customFormat="1">
      <c r="C520" s="39"/>
      <c r="D520" s="39"/>
      <c r="E520" s="55"/>
      <c r="F520" s="33"/>
    </row>
    <row r="521" spans="3:6" s="3" customFormat="1">
      <c r="C521" s="39"/>
      <c r="D521" s="39"/>
      <c r="E521" s="55"/>
      <c r="F521" s="33"/>
    </row>
    <row r="522" spans="3:6" s="3" customFormat="1">
      <c r="C522" s="39"/>
      <c r="D522" s="39"/>
      <c r="E522" s="55"/>
      <c r="F522" s="33"/>
    </row>
    <row r="523" spans="3:6" s="3" customFormat="1">
      <c r="C523" s="39"/>
      <c r="D523" s="39"/>
      <c r="E523" s="55"/>
      <c r="F523" s="33"/>
    </row>
    <row r="524" spans="3:6" s="3" customFormat="1">
      <c r="C524" s="39"/>
      <c r="D524" s="39"/>
      <c r="E524" s="55"/>
      <c r="F524" s="33"/>
    </row>
    <row r="525" spans="3:6" s="3" customFormat="1">
      <c r="C525" s="39"/>
      <c r="D525" s="39"/>
      <c r="E525" s="55"/>
      <c r="F525" s="33"/>
    </row>
    <row r="526" spans="3:6" s="3" customFormat="1">
      <c r="C526" s="39"/>
      <c r="D526" s="39"/>
      <c r="E526" s="55"/>
      <c r="F526" s="33"/>
    </row>
    <row r="527" spans="3:6" s="3" customFormat="1">
      <c r="C527" s="39"/>
      <c r="D527" s="39"/>
      <c r="E527" s="55"/>
      <c r="F527" s="33"/>
    </row>
    <row r="528" spans="3:6" s="3" customFormat="1">
      <c r="C528" s="39"/>
      <c r="D528" s="39"/>
      <c r="E528" s="55"/>
      <c r="F528" s="33"/>
    </row>
    <row r="529" spans="3:6" s="3" customFormat="1">
      <c r="C529" s="39"/>
      <c r="D529" s="39"/>
      <c r="E529" s="55"/>
      <c r="F529" s="33"/>
    </row>
    <row r="530" spans="3:6" s="3" customFormat="1">
      <c r="C530" s="39"/>
      <c r="D530" s="39"/>
      <c r="E530" s="55"/>
      <c r="F530" s="33"/>
    </row>
    <row r="531" spans="3:6" s="3" customFormat="1">
      <c r="C531" s="39"/>
      <c r="D531" s="39"/>
      <c r="E531" s="55"/>
      <c r="F531" s="33"/>
    </row>
    <row r="532" spans="3:6" s="3" customFormat="1">
      <c r="C532" s="39"/>
      <c r="D532" s="39"/>
      <c r="E532" s="55"/>
      <c r="F532" s="33"/>
    </row>
    <row r="533" spans="3:6" s="3" customFormat="1">
      <c r="C533" s="39"/>
      <c r="D533" s="39"/>
      <c r="E533" s="55"/>
      <c r="F533" s="33"/>
    </row>
    <row r="534" spans="3:6" s="3" customFormat="1">
      <c r="C534" s="39"/>
      <c r="D534" s="39"/>
      <c r="E534" s="55"/>
      <c r="F534" s="33"/>
    </row>
    <row r="535" spans="3:6" s="3" customFormat="1">
      <c r="C535" s="39"/>
      <c r="D535" s="39"/>
      <c r="E535" s="55"/>
      <c r="F535" s="33"/>
    </row>
    <row r="536" spans="3:6" s="3" customFormat="1">
      <c r="C536" s="39"/>
      <c r="D536" s="39"/>
      <c r="E536" s="55"/>
      <c r="F536" s="33"/>
    </row>
    <row r="537" spans="3:6" s="3" customFormat="1">
      <c r="C537" s="39"/>
      <c r="D537" s="39"/>
      <c r="E537" s="55"/>
      <c r="F537" s="33"/>
    </row>
    <row r="538" spans="3:6" s="3" customFormat="1">
      <c r="C538" s="39"/>
      <c r="D538" s="39"/>
      <c r="E538" s="55"/>
      <c r="F538" s="33"/>
    </row>
    <row r="539" spans="3:6" s="3" customFormat="1">
      <c r="C539" s="39"/>
      <c r="D539" s="39"/>
      <c r="E539" s="55"/>
      <c r="F539" s="33"/>
    </row>
    <row r="540" spans="3:6" s="3" customFormat="1">
      <c r="C540" s="39"/>
      <c r="D540" s="39"/>
      <c r="E540" s="55"/>
      <c r="F540" s="33"/>
    </row>
    <row r="541" spans="3:6" s="3" customFormat="1">
      <c r="C541" s="39"/>
      <c r="D541" s="39"/>
      <c r="E541" s="55"/>
      <c r="F541" s="33"/>
    </row>
    <row r="542" spans="3:6" s="3" customFormat="1">
      <c r="C542" s="39"/>
      <c r="D542" s="39"/>
      <c r="E542" s="55"/>
      <c r="F542" s="33"/>
    </row>
    <row r="543" spans="3:6" s="3" customFormat="1">
      <c r="C543" s="39"/>
      <c r="D543" s="39"/>
      <c r="E543" s="55"/>
      <c r="F543" s="33"/>
    </row>
    <row r="544" spans="3:6" s="3" customFormat="1">
      <c r="C544" s="39"/>
      <c r="D544" s="39"/>
      <c r="E544" s="55"/>
      <c r="F544" s="33"/>
    </row>
    <row r="545" spans="3:6" s="3" customFormat="1">
      <c r="C545" s="39"/>
      <c r="D545" s="39"/>
      <c r="E545" s="55"/>
      <c r="F545" s="33"/>
    </row>
    <row r="546" spans="3:6" s="3" customFormat="1">
      <c r="C546" s="39"/>
      <c r="D546" s="39"/>
      <c r="E546" s="55"/>
      <c r="F546" s="33"/>
    </row>
    <row r="547" spans="3:6" s="3" customFormat="1">
      <c r="C547" s="39"/>
      <c r="D547" s="39"/>
      <c r="E547" s="55"/>
      <c r="F547" s="33"/>
    </row>
    <row r="548" spans="3:6" s="3" customFormat="1">
      <c r="C548" s="39"/>
      <c r="D548" s="39"/>
      <c r="E548" s="55"/>
      <c r="F548" s="33"/>
    </row>
    <row r="549" spans="3:6" s="3" customFormat="1">
      <c r="C549" s="39"/>
      <c r="D549" s="39"/>
      <c r="E549" s="55"/>
      <c r="F549" s="33"/>
    </row>
    <row r="550" spans="3:6" s="3" customFormat="1">
      <c r="C550" s="39"/>
      <c r="D550" s="39"/>
      <c r="E550" s="55"/>
      <c r="F550" s="33"/>
    </row>
    <row r="551" spans="3:6" s="3" customFormat="1">
      <c r="C551" s="39"/>
      <c r="D551" s="39"/>
      <c r="E551" s="55"/>
      <c r="F551" s="33"/>
    </row>
    <row r="552" spans="3:6" s="3" customFormat="1">
      <c r="C552" s="39"/>
      <c r="D552" s="39"/>
      <c r="E552" s="55"/>
      <c r="F552" s="33"/>
    </row>
    <row r="553" spans="3:6" s="3" customFormat="1">
      <c r="C553" s="39"/>
      <c r="D553" s="39"/>
      <c r="E553" s="55"/>
      <c r="F553" s="33"/>
    </row>
    <row r="554" spans="3:6" s="3" customFormat="1">
      <c r="C554" s="39"/>
      <c r="D554" s="39"/>
      <c r="E554" s="55"/>
      <c r="F554" s="33"/>
    </row>
    <row r="555" spans="3:6" s="3" customFormat="1">
      <c r="C555" s="39"/>
      <c r="D555" s="39"/>
      <c r="E555" s="55"/>
      <c r="F555" s="33"/>
    </row>
    <row r="556" spans="3:6" s="3" customFormat="1">
      <c r="C556" s="39"/>
      <c r="D556" s="39"/>
      <c r="E556" s="55"/>
      <c r="F556" s="33"/>
    </row>
    <row r="557" spans="3:6" s="3" customFormat="1">
      <c r="C557" s="39"/>
      <c r="D557" s="39"/>
      <c r="E557" s="55"/>
      <c r="F557" s="33"/>
    </row>
    <row r="558" spans="3:6" s="3" customFormat="1">
      <c r="C558" s="39"/>
      <c r="D558" s="39"/>
      <c r="E558" s="55"/>
      <c r="F558" s="33"/>
    </row>
    <row r="559" spans="3:6" s="3" customFormat="1">
      <c r="C559" s="39"/>
      <c r="D559" s="39"/>
      <c r="E559" s="55"/>
      <c r="F559" s="33"/>
    </row>
    <row r="560" spans="3:6" s="3" customFormat="1">
      <c r="C560" s="39"/>
      <c r="D560" s="39"/>
      <c r="E560" s="55"/>
      <c r="F560" s="33"/>
    </row>
    <row r="561" spans="3:6" s="3" customFormat="1">
      <c r="C561" s="39"/>
      <c r="D561" s="39"/>
      <c r="E561" s="55"/>
      <c r="F561" s="33"/>
    </row>
    <row r="562" spans="3:6" s="3" customFormat="1">
      <c r="C562" s="39"/>
      <c r="D562" s="39"/>
      <c r="E562" s="55"/>
      <c r="F562" s="33"/>
    </row>
    <row r="563" spans="3:6" s="3" customFormat="1">
      <c r="C563" s="39"/>
      <c r="D563" s="39"/>
      <c r="E563" s="55"/>
      <c r="F563" s="33"/>
    </row>
    <row r="564" spans="3:6" s="3" customFormat="1">
      <c r="C564" s="39"/>
      <c r="D564" s="39"/>
      <c r="E564" s="55"/>
      <c r="F564" s="33"/>
    </row>
    <row r="565" spans="3:6" s="3" customFormat="1">
      <c r="C565" s="39"/>
      <c r="D565" s="39"/>
      <c r="E565" s="55"/>
      <c r="F565" s="33"/>
    </row>
    <row r="566" spans="3:6" s="3" customFormat="1">
      <c r="C566" s="39"/>
      <c r="D566" s="39"/>
      <c r="E566" s="55"/>
      <c r="F566" s="33"/>
    </row>
    <row r="567" spans="3:6" s="3" customFormat="1">
      <c r="C567" s="39"/>
      <c r="D567" s="39"/>
      <c r="E567" s="55"/>
      <c r="F567" s="33"/>
    </row>
    <row r="568" spans="3:6" s="3" customFormat="1">
      <c r="C568" s="39"/>
      <c r="D568" s="39"/>
      <c r="E568" s="55"/>
      <c r="F568" s="33"/>
    </row>
    <row r="569" spans="3:6" s="3" customFormat="1">
      <c r="C569" s="39"/>
      <c r="D569" s="39"/>
      <c r="E569" s="55"/>
      <c r="F569" s="33"/>
    </row>
    <row r="570" spans="3:6" s="3" customFormat="1">
      <c r="C570" s="39"/>
      <c r="D570" s="39"/>
      <c r="E570" s="55"/>
      <c r="F570" s="33"/>
    </row>
    <row r="571" spans="3:6" s="3" customFormat="1">
      <c r="C571" s="39"/>
      <c r="D571" s="39"/>
      <c r="E571" s="55"/>
      <c r="F571" s="33"/>
    </row>
    <row r="572" spans="3:6" s="3" customFormat="1">
      <c r="C572" s="39"/>
      <c r="D572" s="39"/>
      <c r="E572" s="55"/>
      <c r="F572" s="33"/>
    </row>
    <row r="573" spans="3:6" s="3" customFormat="1">
      <c r="C573" s="39"/>
      <c r="D573" s="39"/>
      <c r="E573" s="55"/>
      <c r="F573" s="33"/>
    </row>
    <row r="574" spans="3:6" s="3" customFormat="1">
      <c r="C574" s="39"/>
      <c r="D574" s="39"/>
      <c r="E574" s="55"/>
      <c r="F574" s="33"/>
    </row>
    <row r="575" spans="3:6" s="3" customFormat="1">
      <c r="C575" s="39"/>
      <c r="D575" s="39"/>
      <c r="E575" s="55"/>
      <c r="F575" s="33"/>
    </row>
    <row r="576" spans="3:6" s="3" customFormat="1">
      <c r="C576" s="39"/>
      <c r="D576" s="39"/>
      <c r="E576" s="55"/>
      <c r="F576" s="33"/>
    </row>
    <row r="577" spans="3:6" s="3" customFormat="1">
      <c r="C577" s="39"/>
      <c r="D577" s="39"/>
      <c r="E577" s="55"/>
      <c r="F577" s="33"/>
    </row>
    <row r="578" spans="3:6" s="3" customFormat="1">
      <c r="C578" s="39"/>
      <c r="D578" s="39"/>
      <c r="E578" s="55"/>
      <c r="F578" s="33"/>
    </row>
    <row r="579" spans="3:6" s="3" customFormat="1">
      <c r="C579" s="39"/>
      <c r="D579" s="39"/>
      <c r="E579" s="55"/>
      <c r="F579" s="33"/>
    </row>
    <row r="580" spans="3:6" s="3" customFormat="1">
      <c r="C580" s="39"/>
      <c r="D580" s="39"/>
      <c r="E580" s="55"/>
      <c r="F580" s="33"/>
    </row>
    <row r="581" spans="3:6" s="3" customFormat="1">
      <c r="C581" s="39"/>
      <c r="D581" s="39"/>
      <c r="E581" s="55"/>
      <c r="F581" s="33"/>
    </row>
    <row r="582" spans="3:6" s="3" customFormat="1">
      <c r="C582" s="39"/>
      <c r="D582" s="39"/>
      <c r="E582" s="55"/>
      <c r="F582" s="33"/>
    </row>
    <row r="583" spans="3:6" s="3" customFormat="1">
      <c r="C583" s="39"/>
      <c r="D583" s="39"/>
      <c r="E583" s="55"/>
      <c r="F583" s="33"/>
    </row>
    <row r="584" spans="3:6" s="3" customFormat="1">
      <c r="C584" s="39"/>
      <c r="D584" s="39"/>
      <c r="E584" s="55"/>
      <c r="F584" s="33"/>
    </row>
    <row r="585" spans="3:6" s="3" customFormat="1">
      <c r="C585" s="39"/>
      <c r="D585" s="39"/>
      <c r="E585" s="55"/>
      <c r="F585" s="33"/>
    </row>
    <row r="586" spans="3:6" s="3" customFormat="1">
      <c r="C586" s="39"/>
      <c r="D586" s="39"/>
      <c r="E586" s="55"/>
      <c r="F586" s="33"/>
    </row>
    <row r="587" spans="3:6" s="3" customFormat="1">
      <c r="C587" s="39"/>
      <c r="D587" s="39"/>
      <c r="E587" s="55"/>
      <c r="F587" s="33"/>
    </row>
    <row r="588" spans="3:6" s="3" customFormat="1">
      <c r="C588" s="39"/>
      <c r="D588" s="39"/>
      <c r="E588" s="55"/>
      <c r="F588" s="33"/>
    </row>
    <row r="589" spans="3:6" s="3" customFormat="1">
      <c r="C589" s="39"/>
      <c r="D589" s="39"/>
      <c r="E589" s="55"/>
      <c r="F589" s="33"/>
    </row>
  </sheetData>
  <autoFilter ref="B3:M3" xr:uid="{00000000-0009-0000-0000-000001000000}"/>
  <dataConsolidate/>
  <mergeCells count="38">
    <mergeCell ref="C52:C54"/>
    <mergeCell ref="D52:D54"/>
    <mergeCell ref="D33:D34"/>
    <mergeCell ref="C37:C38"/>
    <mergeCell ref="D37:D38"/>
    <mergeCell ref="G2:J2"/>
    <mergeCell ref="K2:M2"/>
    <mergeCell ref="E37:E38"/>
    <mergeCell ref="C46:C48"/>
    <mergeCell ref="D46:D48"/>
    <mergeCell ref="B8:B9"/>
    <mergeCell ref="E8:E9"/>
    <mergeCell ref="C8:C9"/>
    <mergeCell ref="D8:D9"/>
    <mergeCell ref="B37:B38"/>
    <mergeCell ref="B33:B34"/>
    <mergeCell ref="E33:E34"/>
    <mergeCell ref="B25:B27"/>
    <mergeCell ref="E25:E27"/>
    <mergeCell ref="B29:B30"/>
    <mergeCell ref="D20:D21"/>
    <mergeCell ref="C20:C21"/>
    <mergeCell ref="B52:B54"/>
    <mergeCell ref="E52:E54"/>
    <mergeCell ref="B46:B48"/>
    <mergeCell ref="E46:E48"/>
    <mergeCell ref="E20:E21"/>
    <mergeCell ref="E23:E24"/>
    <mergeCell ref="C25:C27"/>
    <mergeCell ref="D23:D24"/>
    <mergeCell ref="C23:C24"/>
    <mergeCell ref="D25:D27"/>
    <mergeCell ref="C29:C30"/>
    <mergeCell ref="D29:D30"/>
    <mergeCell ref="E29:E30"/>
    <mergeCell ref="C33:C34"/>
    <mergeCell ref="B23:B24"/>
    <mergeCell ref="B20:B21"/>
  </mergeCells>
  <conditionalFormatting sqref="K5:K18 K20:K31 K33:K43 K45:K49 K51:K55 K57:K59 K61:K62">
    <cfRule type="cellIs" dxfId="10" priority="11" operator="equal">
      <formula>"No"</formula>
    </cfRule>
    <cfRule type="cellIs" dxfId="9" priority="12" operator="equal">
      <formula>"Yes"</formula>
    </cfRule>
  </conditionalFormatting>
  <conditionalFormatting sqref="K64:K69">
    <cfRule type="cellIs" dxfId="8" priority="5" operator="equal">
      <formula>"No"</formula>
    </cfRule>
    <cfRule type="cellIs" dxfId="7" priority="6" operator="equal">
      <formula>"Yes"</formula>
    </cfRule>
  </conditionalFormatting>
  <conditionalFormatting sqref="L5:L18 L20:L31 L33:L43 L45:L49 L51:L55 L57:L59 L61:L62">
    <cfRule type="cellIs" dxfId="6" priority="8" operator="equal">
      <formula>"Rejected(High Risk)"</formula>
    </cfRule>
    <cfRule type="cellIs" dxfId="5" priority="9" operator="equal">
      <formula>"More Information Needed"</formula>
    </cfRule>
    <cfRule type="cellIs" dxfId="4" priority="10" operator="equal">
      <formula>"Accepted (Low Risk)"</formula>
    </cfRule>
  </conditionalFormatting>
  <conditionalFormatting sqref="L64:L69">
    <cfRule type="cellIs" dxfId="3" priority="2" operator="equal">
      <formula>"Rejected(High Risk)"</formula>
    </cfRule>
    <cfRule type="cellIs" dxfId="2" priority="3" operator="equal">
      <formula>"More Information Needed"</formula>
    </cfRule>
    <cfRule type="cellIs" dxfId="1" priority="4" operator="equal">
      <formula>"Accepted (Low Risk)"</formula>
    </cfRule>
  </conditionalFormatting>
  <conditionalFormatting sqref="L5:M69">
    <cfRule type="expression" dxfId="0" priority="1">
      <formula>$K5="No"</formula>
    </cfRule>
  </conditionalFormatting>
  <dataValidations count="2">
    <dataValidation type="list" allowBlank="1" showInputMessage="1" showErrorMessage="1" sqref="G5:I18 G20:I31 G33:I43 G45:I49 G51:I55 G57:I59 G61:I62 G64:I69" xr:uid="{00000000-0002-0000-0100-000000000000}">
      <formula1>"X"</formula1>
    </dataValidation>
    <dataValidation type="list" allowBlank="1" showInputMessage="1" showErrorMessage="1" sqref="L5:L18 L20:L31 L33:L69" xr:uid="{00000000-0002-0000-0100-000001000000}">
      <formula1>"Accepted (Low Risk),More Information Needed,Rejected(High Risk)"</formula1>
    </dataValidation>
  </dataValidations>
  <pageMargins left="0.7" right="0.7" top="0.75" bottom="0.75" header="0.3" footer="0.3"/>
  <pageSetup paperSize="9" scale="40" fitToHeight="0" orientation="landscape" horizontalDpi="1200" verticalDpi="1200" r:id="rId1"/>
  <headerFooter>
    <oddHeader xml:space="preserve">&amp;L&amp;G&amp;RApproval of cloud applications
Approval Date: 13.01.2022
Doc. Ref.: D PO 00-0068  </oddHeader>
  </headerFooter>
  <ignoredErrors>
    <ignoredError sqref="K9" formula="1"/>
  </ignoredError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21"/>
  <sheetViews>
    <sheetView workbookViewId="0">
      <selection activeCell="C27" sqref="C27"/>
    </sheetView>
  </sheetViews>
  <sheetFormatPr baseColWidth="10" defaultColWidth="27.6640625" defaultRowHeight="15"/>
  <cols>
    <col min="1" max="1" width="6" style="43" customWidth="1"/>
    <col min="2" max="2" width="27.6640625" style="43"/>
    <col min="3" max="3" width="113.5" style="43" customWidth="1"/>
    <col min="4" max="16384" width="27.6640625" style="43"/>
  </cols>
  <sheetData>
    <row r="1" spans="2:3" ht="16">
      <c r="B1" s="44"/>
      <c r="C1" s="44"/>
    </row>
    <row r="2" spans="2:3">
      <c r="B2" s="46" t="s">
        <v>213</v>
      </c>
      <c r="C2" s="45" t="s">
        <v>214</v>
      </c>
    </row>
    <row r="3" spans="2:3" ht="28">
      <c r="B3" s="46" t="s">
        <v>215</v>
      </c>
      <c r="C3" s="45" t="s">
        <v>216</v>
      </c>
    </row>
    <row r="4" spans="2:3">
      <c r="B4" s="46" t="s">
        <v>217</v>
      </c>
      <c r="C4" s="45" t="s">
        <v>218</v>
      </c>
    </row>
    <row r="5" spans="2:3">
      <c r="B5" s="46" t="s">
        <v>219</v>
      </c>
      <c r="C5" s="45" t="s">
        <v>220</v>
      </c>
    </row>
    <row r="6" spans="2:3" ht="42">
      <c r="B6" s="46" t="s">
        <v>221</v>
      </c>
      <c r="C6" s="45" t="s">
        <v>222</v>
      </c>
    </row>
    <row r="7" spans="2:3">
      <c r="B7" s="46" t="s">
        <v>223</v>
      </c>
      <c r="C7" s="45" t="s">
        <v>224</v>
      </c>
    </row>
    <row r="8" spans="2:3">
      <c r="B8" s="46" t="s">
        <v>225</v>
      </c>
      <c r="C8" s="45" t="s">
        <v>226</v>
      </c>
    </row>
    <row r="9" spans="2:3" ht="28">
      <c r="B9" s="46" t="s">
        <v>227</v>
      </c>
      <c r="C9" s="45" t="s">
        <v>228</v>
      </c>
    </row>
    <row r="10" spans="2:3">
      <c r="B10" s="46" t="s">
        <v>229</v>
      </c>
      <c r="C10" s="45" t="s">
        <v>230</v>
      </c>
    </row>
    <row r="11" spans="2:3" ht="28">
      <c r="B11" s="46" t="s">
        <v>231</v>
      </c>
      <c r="C11" s="45" t="s">
        <v>232</v>
      </c>
    </row>
    <row r="12" spans="2:3" ht="28">
      <c r="B12" s="46" t="s">
        <v>233</v>
      </c>
      <c r="C12" s="45" t="s">
        <v>234</v>
      </c>
    </row>
    <row r="13" spans="2:3" ht="28">
      <c r="B13" s="46" t="s">
        <v>235</v>
      </c>
      <c r="C13" s="45" t="s">
        <v>236</v>
      </c>
    </row>
    <row r="14" spans="2:3" ht="28">
      <c r="B14" s="46" t="s">
        <v>237</v>
      </c>
      <c r="C14" s="45" t="s">
        <v>238</v>
      </c>
    </row>
    <row r="15" spans="2:3">
      <c r="B15" s="46" t="s">
        <v>34</v>
      </c>
      <c r="C15" s="45" t="s">
        <v>239</v>
      </c>
    </row>
    <row r="16" spans="2:3">
      <c r="B16" s="46" t="s">
        <v>240</v>
      </c>
      <c r="C16" s="45" t="s">
        <v>241</v>
      </c>
    </row>
    <row r="17" spans="2:3">
      <c r="B17" s="46" t="s">
        <v>242</v>
      </c>
      <c r="C17" s="45" t="s">
        <v>243</v>
      </c>
    </row>
    <row r="18" spans="2:3">
      <c r="B18" s="46" t="s">
        <v>244</v>
      </c>
      <c r="C18" s="45" t="s">
        <v>245</v>
      </c>
    </row>
    <row r="19" spans="2:3" ht="28">
      <c r="B19" s="46" t="s">
        <v>246</v>
      </c>
      <c r="C19" s="45" t="s">
        <v>247</v>
      </c>
    </row>
    <row r="20" spans="2:3">
      <c r="B20" s="46" t="s">
        <v>248</v>
      </c>
      <c r="C20" s="45" t="s">
        <v>249</v>
      </c>
    </row>
    <row r="21" spans="2:3" ht="28">
      <c r="B21" s="46" t="s">
        <v>250</v>
      </c>
      <c r="C21" s="45" t="s">
        <v>251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10"/>
  <sheetViews>
    <sheetView workbookViewId="0">
      <selection activeCell="F4" sqref="F4"/>
    </sheetView>
  </sheetViews>
  <sheetFormatPr baseColWidth="10" defaultColWidth="9.1640625" defaultRowHeight="14"/>
  <cols>
    <col min="1" max="1" width="9.1640625" style="57"/>
    <col min="2" max="2" width="44.1640625" style="57" customWidth="1"/>
    <col min="3" max="12" width="13.83203125" style="57" customWidth="1"/>
    <col min="13" max="16384" width="9.1640625" style="57"/>
  </cols>
  <sheetData>
    <row r="2" spans="2:12" ht="85">
      <c r="B2" s="58" t="s">
        <v>252</v>
      </c>
      <c r="C2" s="61" t="s">
        <v>253</v>
      </c>
      <c r="D2" s="61" t="s">
        <v>254</v>
      </c>
      <c r="E2" s="62" t="s">
        <v>255</v>
      </c>
      <c r="F2" s="62" t="s">
        <v>256</v>
      </c>
      <c r="G2" s="62" t="s">
        <v>257</v>
      </c>
      <c r="H2" s="62" t="s">
        <v>258</v>
      </c>
      <c r="I2" s="61" t="s">
        <v>259</v>
      </c>
      <c r="J2" s="61" t="s">
        <v>260</v>
      </c>
      <c r="K2" s="61" t="s">
        <v>261</v>
      </c>
      <c r="L2" s="61" t="s">
        <v>262</v>
      </c>
    </row>
    <row r="3" spans="2:12" ht="17">
      <c r="B3" s="60" t="s">
        <v>263</v>
      </c>
      <c r="C3" s="59"/>
      <c r="D3" s="59"/>
      <c r="E3" s="59"/>
      <c r="F3" s="59"/>
      <c r="G3" s="59"/>
      <c r="H3" s="59"/>
      <c r="I3" s="59"/>
      <c r="J3" s="59"/>
      <c r="K3" s="59"/>
      <c r="L3" s="59"/>
    </row>
    <row r="4" spans="2:12" ht="17">
      <c r="B4" s="60" t="s">
        <v>264</v>
      </c>
      <c r="C4" s="59"/>
      <c r="D4" s="59"/>
      <c r="E4" s="59"/>
      <c r="F4" s="59"/>
      <c r="G4" s="59"/>
      <c r="H4" s="59"/>
      <c r="I4" s="59"/>
      <c r="J4" s="59"/>
      <c r="K4" s="59"/>
      <c r="L4" s="59"/>
    </row>
    <row r="5" spans="2:12" ht="17">
      <c r="B5" s="60" t="s">
        <v>265</v>
      </c>
      <c r="C5" s="59"/>
      <c r="D5" s="59"/>
      <c r="E5" s="59"/>
      <c r="F5" s="59"/>
      <c r="G5" s="59"/>
      <c r="H5" s="59"/>
      <c r="I5" s="59"/>
      <c r="J5" s="59"/>
      <c r="K5" s="59"/>
      <c r="L5" s="59"/>
    </row>
    <row r="6" spans="2:12" ht="17">
      <c r="B6" s="60" t="s">
        <v>266</v>
      </c>
      <c r="C6" s="59"/>
      <c r="D6" s="59"/>
      <c r="E6" s="59"/>
      <c r="F6" s="59"/>
      <c r="G6" s="59"/>
      <c r="H6" s="59"/>
      <c r="I6" s="59"/>
      <c r="J6" s="59"/>
      <c r="K6" s="59"/>
      <c r="L6" s="59"/>
    </row>
    <row r="7" spans="2:12" ht="17">
      <c r="B7" s="60" t="s">
        <v>267</v>
      </c>
      <c r="C7" s="59"/>
      <c r="D7" s="59"/>
      <c r="E7" s="59"/>
      <c r="F7" s="59"/>
      <c r="G7" s="59"/>
      <c r="H7" s="59"/>
      <c r="I7" s="59"/>
      <c r="J7" s="59"/>
      <c r="K7" s="59"/>
      <c r="L7" s="59"/>
    </row>
    <row r="8" spans="2:12" ht="17">
      <c r="B8" s="60" t="s">
        <v>268</v>
      </c>
      <c r="C8" s="59"/>
      <c r="D8" s="59"/>
      <c r="E8" s="59"/>
      <c r="F8" s="59"/>
      <c r="G8" s="59"/>
      <c r="H8" s="59"/>
      <c r="I8" s="59"/>
      <c r="J8" s="59"/>
      <c r="K8" s="59"/>
      <c r="L8" s="59"/>
    </row>
    <row r="9" spans="2:12" ht="17">
      <c r="B9" s="60" t="s">
        <v>269</v>
      </c>
      <c r="C9" s="59"/>
      <c r="D9" s="59"/>
      <c r="E9" s="59"/>
      <c r="F9" s="59"/>
      <c r="G9" s="59"/>
      <c r="H9" s="59"/>
      <c r="I9" s="59"/>
      <c r="J9" s="59"/>
      <c r="K9" s="59"/>
      <c r="L9" s="59"/>
    </row>
    <row r="10" spans="2:12" ht="17">
      <c r="B10" s="60" t="s">
        <v>270</v>
      </c>
      <c r="C10" s="59"/>
      <c r="D10" s="59"/>
      <c r="E10" s="59"/>
      <c r="F10" s="59"/>
      <c r="G10" s="59"/>
      <c r="H10" s="59"/>
      <c r="I10" s="59"/>
      <c r="J10" s="59"/>
      <c r="K10" s="59"/>
      <c r="L10" s="59"/>
    </row>
  </sheetData>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9"/>
  <sheetViews>
    <sheetView workbookViewId="0">
      <selection activeCell="K2" sqref="K2"/>
    </sheetView>
  </sheetViews>
  <sheetFormatPr baseColWidth="10" defaultColWidth="8.83203125" defaultRowHeight="15"/>
  <cols>
    <col min="2" max="2" width="37.1640625" bestFit="1" customWidth="1"/>
  </cols>
  <sheetData>
    <row r="1" spans="2:6">
      <c r="C1" t="s">
        <v>271</v>
      </c>
      <c r="D1" t="s">
        <v>272</v>
      </c>
      <c r="E1" t="s">
        <v>38</v>
      </c>
      <c r="F1" t="s">
        <v>39</v>
      </c>
    </row>
    <row r="2" spans="2:6">
      <c r="B2" t="str">
        <f>Questions!B4</f>
        <v>1.     Compliance</v>
      </c>
      <c r="C2">
        <f>Questions!G4</f>
        <v>13</v>
      </c>
      <c r="D2">
        <v>14</v>
      </c>
      <c r="E2">
        <f>Questions!H4</f>
        <v>1</v>
      </c>
      <c r="F2">
        <f>Questions!I4</f>
        <v>0</v>
      </c>
    </row>
    <row r="3" spans="2:6">
      <c r="B3" t="str">
        <f>Questions!B19</f>
        <v>2.     Data security</v>
      </c>
      <c r="C3">
        <f>Questions!G19</f>
        <v>8</v>
      </c>
      <c r="D3">
        <v>12</v>
      </c>
      <c r="E3">
        <f>Questions!H19</f>
        <v>4</v>
      </c>
      <c r="F3">
        <f>Questions!I19</f>
        <v>0</v>
      </c>
    </row>
    <row r="4" spans="2:6">
      <c r="B4" t="str">
        <f>Questions!B32</f>
        <v>3.     IT regular operation</v>
      </c>
      <c r="C4">
        <f>Questions!G32</f>
        <v>11</v>
      </c>
      <c r="D4">
        <v>11</v>
      </c>
      <c r="E4">
        <f>Questions!H32</f>
        <v>0</v>
      </c>
      <c r="F4">
        <f>Questions!I32</f>
        <v>0</v>
      </c>
    </row>
    <row r="5" spans="2:6">
      <c r="B5" t="str">
        <f>Questions!B44</f>
        <v>4.     IT security monitoring</v>
      </c>
      <c r="C5">
        <f>Questions!G44</f>
        <v>4</v>
      </c>
      <c r="D5">
        <v>5</v>
      </c>
      <c r="E5">
        <f>Questions!H44</f>
        <v>1</v>
      </c>
      <c r="F5">
        <f>Questions!I44</f>
        <v>0</v>
      </c>
    </row>
    <row r="6" spans="2:6">
      <c r="B6" t="str">
        <f>Questions!B50</f>
        <v>5.     Infrastructure security</v>
      </c>
      <c r="C6">
        <f>Questions!G50</f>
        <v>5</v>
      </c>
      <c r="D6">
        <v>5</v>
      </c>
      <c r="E6">
        <f>Questions!H50</f>
        <v>0</v>
      </c>
      <c r="F6">
        <f>Questions!I50</f>
        <v>0</v>
      </c>
    </row>
    <row r="7" spans="2:6">
      <c r="B7" t="str">
        <f>Questions!B56</f>
        <v>6.     Safety of personnel</v>
      </c>
      <c r="C7">
        <f>Questions!G56</f>
        <v>3</v>
      </c>
      <c r="D7">
        <v>3</v>
      </c>
      <c r="E7">
        <f>Questions!H56</f>
        <v>0</v>
      </c>
      <c r="F7">
        <f>Questions!I56</f>
        <v>0</v>
      </c>
    </row>
    <row r="8" spans="2:6">
      <c r="B8" t="str">
        <f>Questions!B60</f>
        <v>7.     Application security</v>
      </c>
      <c r="C8">
        <f>Questions!G60</f>
        <v>2</v>
      </c>
      <c r="D8">
        <v>2</v>
      </c>
      <c r="E8">
        <f>Questions!H60</f>
        <v>0</v>
      </c>
      <c r="F8">
        <f>Questions!I60</f>
        <v>0</v>
      </c>
    </row>
    <row r="9" spans="2:6">
      <c r="B9" t="str">
        <f>Questions!B63</f>
        <v>8.     Contractual and commercial aspects</v>
      </c>
      <c r="C9">
        <f>Questions!G63</f>
        <v>6</v>
      </c>
      <c r="D9">
        <v>6</v>
      </c>
      <c r="E9">
        <f>Questions!H63</f>
        <v>0</v>
      </c>
      <c r="F9">
        <f>Questions!I63</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528CD9C63CC74D9759DBCFC2F2C7F7" ma:contentTypeVersion="6" ma:contentTypeDescription="Create a new document." ma:contentTypeScope="" ma:versionID="04b45a9b35a4fcb04406b59d6c2b4a86">
  <xsd:schema xmlns:xsd="http://www.w3.org/2001/XMLSchema" xmlns:xs="http://www.w3.org/2001/XMLSchema" xmlns:p="http://schemas.microsoft.com/office/2006/metadata/properties" xmlns:ns2="4913962d-e102-4083-bbdb-6ba1085b2e09" xmlns:ns3="60f575b1-ccd5-4c42-b051-e13fdc8e4e15" targetNamespace="http://schemas.microsoft.com/office/2006/metadata/properties" ma:root="true" ma:fieldsID="4ef0e551871ecbcf2ee573e1ddbecb63" ns2:_="" ns3:_="">
    <xsd:import namespace="4913962d-e102-4083-bbdb-6ba1085b2e09"/>
    <xsd:import namespace="60f575b1-ccd5-4c42-b051-e13fdc8e4e1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13962d-e102-4083-bbdb-6ba1085b2e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f575b1-ccd5-4c42-b051-e13fdc8e4e1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4DEDB1-74E9-45DA-8FA6-EE75662E6555}">
  <ds:schemaRefs>
    <ds:schemaRef ds:uri="http://schemas.microsoft.com/sharepoint/v3/contenttype/forms"/>
  </ds:schemaRefs>
</ds:datastoreItem>
</file>

<file path=customXml/itemProps2.xml><?xml version="1.0" encoding="utf-8"?>
<ds:datastoreItem xmlns:ds="http://schemas.openxmlformats.org/officeDocument/2006/customXml" ds:itemID="{0E35A220-1553-4700-910D-28C321FDA17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DA139D0-FED9-4801-A422-CFD5BF0E46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13962d-e102-4083-bbdb-6ba1085b2e09"/>
    <ds:schemaRef ds:uri="60f575b1-ccd5-4c42-b051-e13fdc8e4e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9f1dee8-6c44-471c-aab1-8503c1a729ba}" enabled="1" method="Standard" siteId="{168c2566-086c-46ef-b0a6-1072ab978325}"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CoverSheet</vt:lpstr>
      <vt:lpstr>Questions</vt:lpstr>
      <vt:lpstr>Glossary</vt:lpstr>
      <vt:lpstr>Standards</vt:lpstr>
      <vt:lpstr>Assessment</vt:lpstr>
    </vt:vector>
  </TitlesOfParts>
  <Manager/>
  <Company>Siegfried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Granes Bonet, Jordi</dc:creator>
  <cp:keywords/>
  <dc:description/>
  <cp:lastModifiedBy>Jingjing Huang</cp:lastModifiedBy>
  <cp:revision/>
  <dcterms:created xsi:type="dcterms:W3CDTF">2023-05-16T07:09:20Z</dcterms:created>
  <dcterms:modified xsi:type="dcterms:W3CDTF">2026-07-10T13:56:57Z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0x010100C3528CD9C63CC74D9759DBCFC2F2C7F7</vt:lpwstr>
  </property>
</Properties>
</file>